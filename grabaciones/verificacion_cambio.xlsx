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 showHorizontalScroll="1" showVerticalScroll="1"/>
  </bookViews>
  <sheets>
    <sheet name="Leyenda" sheetId="1" state="visible" r:id="rId1"/>
    <sheet name="Paso 2" sheetId="2" state="visible" r:id="rId2"/>
    <sheet name="Paso 1" sheetId="3" state="visible" r:id="rId3"/>
    <sheet name="Resumen" sheetId="4" state="visible" r:id="rId4"/>
  </sheets>
  <definedNames>
    <definedName name="_xlnm._FilterDatabase" localSheetId="1" hidden="1">'Paso 2'!$A$1:$F$172</definedName>
    <definedName name="_xlnm._FilterDatabase" localSheetId="1" hidden="1">'Paso 2'!$A$1:$F$172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<sst xmlns="http://schemas.openxmlformats.org/spreadsheetml/2006/main" count="106" uniqueCount="106">
  <si>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 xml:space="preserve">Verificación: paso 2 de CAMBIO vs paso 2 de REGISTRO</t>
  </si>
  <si>
    <t xml:space="preserve">Cómo llenarlo:</t>
  </si>
  <si>
    <t xml:space="preserve">1. Hoja 'Paso 2': para cada campo del registro, elige en la columna D si aparece en el paso 2 de Cambio (Sí / No / No aplica).</t>
  </si>
  <si>
    <t xml:space="preserve">2. Solo se editan las celdas amarillas (columnas D y F). La columna E es una predicción, no hace falta tocarla.</t>
  </si>
  <si>
    <t xml:space="preserve">3. Si en Cambio aparece un campo que NO está en el registro, agrégalo al final de la lista del servicio con D = 'Nuevo'.</t>
  </si>
  <si>
    <t xml:space="preserve">4. Hoja 'Paso 1': marca qué campos tiene el paso 1 de Cambio en cada servicio (fecha de ejecución, instalación, otros datos).</t>
  </si>
  <si>
    <t xml:space="preserve">5. La hoja 'Resumen' cuenta solo: campos verificados, faltantes y pendientes por servicio.</t>
  </si>
  <si>
    <t xml:space="preserve">Ya prellenado (tu revisión del 16/10): TF, TFP, PTF, IF, SMP, SMC, SMO.</t>
  </si>
  <si>
    <t xml:space="preserve">Pendientes: OTF, PIF, TVP, TVPR, PTV, SMQ, OS, AC.</t>
  </si>
  <si>
    <t xml:space="preserve">Predicción (columna E): en lo revisado, Cambio quita las características que definen el plan</t>
  </si>
  <si>
    <t xml:space="preserve">(Periodicidad, Duración, Tipo de acceso/línea/contratación, Tecnología, Internet ilimitado, Componentes del plan).</t>
  </si>
  <si>
    <t xml:space="preserve">Fuente de los campos del registro: servicios/*.py del proyecto (paso 2 de cada servicio).</t>
  </si>
  <si>
    <t>Código</t>
  </si>
  <si>
    <t>Servicio</t>
  </si>
  <si>
    <t xml:space="preserve">Campo en el paso 2 del REGISTRO</t>
  </si>
  <si>
    <t xml:space="preserve">¿Está en el paso 2 de CAMBIO?</t>
  </si>
  <si>
    <t>Predicción</t>
  </si>
  <si>
    <t>Observación</t>
  </si>
  <si>
    <t>TF</t>
  </si>
  <si>
    <t xml:space="preserve">Telefonía fija postpago</t>
  </si>
  <si>
    <t xml:space="preserve">Valor del servicio</t>
  </si>
  <si>
    <t>Sí</t>
  </si>
  <si>
    <t>Periodicidad</t>
  </si>
  <si>
    <t>No</t>
  </si>
  <si>
    <t xml:space="preserve">Tipo de acceso</t>
  </si>
  <si>
    <t>Tecnología</t>
  </si>
  <si>
    <t xml:space="preserve">Bloques de minutos (5)</t>
  </si>
  <si>
    <t xml:space="preserve">Tarifas fijo LDI (tabla)</t>
  </si>
  <si>
    <t xml:space="preserve">Tarifas móvil LDI (tabla)</t>
  </si>
  <si>
    <t xml:space="preserve">Condiciones generales</t>
  </si>
  <si>
    <t xml:space="preserve">Restricciones técnicas</t>
  </si>
  <si>
    <t>TFP</t>
  </si>
  <si>
    <t xml:space="preserve">Telefonía fija prepago</t>
  </si>
  <si>
    <t>Duración</t>
  </si>
  <si>
    <t xml:space="preserve">Anotado como PERIODICIDAD; TFP tiene Duración en su lugar. Confirmar. (Es cierto es Duración y no periodicidad)</t>
  </si>
  <si>
    <t>OTF</t>
  </si>
  <si>
    <t xml:space="preserve">Otras tarifas de telefonía fija</t>
  </si>
  <si>
    <t xml:space="preserve">Tipo de línea</t>
  </si>
  <si>
    <t xml:space="preserve">Tarifa por minuto</t>
  </si>
  <si>
    <t>PTF</t>
  </si>
  <si>
    <t xml:space="preserve">Paquetes adicionales de telefonía fija</t>
  </si>
  <si>
    <t>IF</t>
  </si>
  <si>
    <t xml:space="preserve">Internet fijo postpago</t>
  </si>
  <si>
    <t xml:space="preserve">Tipo de Acceso (IF)</t>
  </si>
  <si>
    <t xml:space="preserve">Tecnología (IF)</t>
  </si>
  <si>
    <t xml:space="preserve">Velocidades (tabla)</t>
  </si>
  <si>
    <t xml:space="preserve">Internet Ilimitado</t>
  </si>
  <si>
    <t xml:space="preserve">Cantidad de datos</t>
  </si>
  <si>
    <t xml:space="preserve">Repetidores y/o equipos similares</t>
  </si>
  <si>
    <t>PIF</t>
  </si>
  <si>
    <t xml:space="preserve">Paquetes adicionales y otros servicios de internet fijo</t>
  </si>
  <si>
    <t>TVP</t>
  </si>
  <si>
    <t xml:space="preserve">Televisión de paga postpago</t>
  </si>
  <si>
    <t xml:space="preserve">Tipo de Acceso (TV)</t>
  </si>
  <si>
    <t xml:space="preserve">Canales analógicos (Excel)</t>
  </si>
  <si>
    <t xml:space="preserve">Canales digitales SD (Excel)</t>
  </si>
  <si>
    <t xml:space="preserve">Canales digitales HD (Excel)</t>
  </si>
  <si>
    <t xml:space="preserve">Decodificadores o similares</t>
  </si>
  <si>
    <t>TVPR</t>
  </si>
  <si>
    <t xml:space="preserve">Televisión de paga prepago</t>
  </si>
  <si>
    <t>PTV</t>
  </si>
  <si>
    <t xml:space="preserve">Paquetes adicionales y otras tarifas de televisión de paga</t>
  </si>
  <si>
    <t xml:space="preserve">Tipo de Contratación</t>
  </si>
  <si>
    <t>SMP</t>
  </si>
  <si>
    <t xml:space="preserve">Servicio público móvil postpago</t>
  </si>
  <si>
    <t xml:space="preserve">Componentes del plan</t>
  </si>
  <si>
    <t xml:space="preserve">Datos para tethering</t>
  </si>
  <si>
    <t xml:space="preserve">Traslada datos</t>
  </si>
  <si>
    <t xml:space="preserve">Bolsa de gigas / Datos para apps (tablas)</t>
  </si>
  <si>
    <t xml:space="preserve">Apps sin consumo de datos</t>
  </si>
  <si>
    <t xml:space="preserve">Tecnologías y velocidades (tabla)</t>
  </si>
  <si>
    <t xml:space="preserve">Datos tope descarga</t>
  </si>
  <si>
    <t xml:space="preserve">Velocidades con degradación</t>
  </si>
  <si>
    <t xml:space="preserve">Minutos / SMS (bloques condicionales)</t>
  </si>
  <si>
    <t xml:space="preserve">Tarifas por minuto (MB adicional, móvil a fijo, todo destino)</t>
  </si>
  <si>
    <t xml:space="preserve">Tarifas LDI y roaming (tablas por países)</t>
  </si>
  <si>
    <t xml:space="preserve">Datos roaming</t>
  </si>
  <si>
    <t xml:space="preserve">Condiciones (10 textos)</t>
  </si>
  <si>
    <t xml:space="preserve">Restricciones (3 textos)</t>
  </si>
  <si>
    <t>SMC</t>
  </si>
  <si>
    <t xml:space="preserve">Servicio público móvil control</t>
  </si>
  <si>
    <t>SMO</t>
  </si>
  <si>
    <t xml:space="preserve">Servicio móvil otros</t>
  </si>
  <si>
    <t xml:space="preserve">Tipo de línea móvil</t>
  </si>
  <si>
    <t>SMQ</t>
  </si>
  <si>
    <t xml:space="preserve">Servicio público móvil paquete</t>
  </si>
  <si>
    <t>OS</t>
  </si>
  <si>
    <t xml:space="preserve">Otros servicios</t>
  </si>
  <si>
    <t xml:space="preserve">Tipo de moneda</t>
  </si>
  <si>
    <t xml:space="preserve">Otras condiciones tarifa</t>
  </si>
  <si>
    <t xml:space="preserve">Otras restricciones</t>
  </si>
  <si>
    <t>AC</t>
  </si>
  <si>
    <t xml:space="preserve">Arrendamiento de circuitos</t>
  </si>
  <si>
    <t xml:space="preserve">Periodo de contrato</t>
  </si>
  <si>
    <t xml:space="preserve">Tecnología de transmisión</t>
  </si>
  <si>
    <t xml:space="preserve">Velocidad de transmisión</t>
  </si>
  <si>
    <t xml:space="preserve">Vel. transmisión garantizada</t>
  </si>
  <si>
    <t xml:space="preserve">Fecha de ejecución</t>
  </si>
  <si>
    <t xml:space="preserve">Tarifa de instalación</t>
  </si>
  <si>
    <t xml:space="preserve">Otros datos generales</t>
  </si>
  <si>
    <t xml:space="preserve">Otros campos del paso 1</t>
  </si>
  <si>
    <t xml:space="preserve">Campos del registro</t>
  </si>
  <si>
    <t>Verificados</t>
  </si>
  <si>
    <t xml:space="preserve">No están en Cambio</t>
  </si>
  <si>
    <t>Pendientes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</si>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</sst>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sz val="10.000000"/>
      <name val="Arial"/>
    </font>
    <font>
      <b/>
      <sz val="13.000000"/>
      <name val="Arial"/>
    </font>
    <font>
      <b/>
      <sz val="10.000000"/>
      <name val="Arial"/>
    </font>
    <font>
      <b/>
      <sz val="11.000000"/>
      <color indexed="65"/>
      <name val="Arial"/>
    </font>
    <font>
      <sz val="10.000000"/>
      <color indexed="64"/>
      <name val="Arial"/>
    </font>
    <font>
      <sz val="10.000000"/>
      <color indexed="4"/>
      <name val="Arial"/>
    </font>
    <font>
      <i/>
      <sz val="10.000000"/>
      <color indexed="23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56"/>
      </patternFill>
    </fill>
    <fill>
      <patternFill patternType="solid">
        <fgColor rgb="FFFFF2CC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0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1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4" fillId="2" borderId="1" numFmtId="0" xfId="0" applyFont="1" applyFill="1" applyBorder="1" applyAlignment="1" applyProtection="0">
      <alignment vertical="center" wrapText="1"/>
      <protection hidden="0" locked="1"/>
    </xf>
    <xf fontId="5" fillId="0" borderId="1" numFmtId="0" xfId="0" applyFont="1" applyBorder="1" applyProtection="0">
      <protection hidden="0" locked="1"/>
    </xf>
    <xf fontId="6" fillId="3" borderId="1" numFmtId="0" xfId="0" applyFont="1" applyFill="1" applyBorder="1" applyProtection="0">
      <protection hidden="0" locked="1"/>
    </xf>
    <xf fontId="7" fillId="0" borderId="1" numFmtId="0" xfId="0" applyFont="1" applyBorder="1" applyProtection="0">
      <protection hidden="0" locked="1"/>
    </xf>
    <xf fontId="4" fillId="2" borderId="1" numFmtId="0" xfId="0" applyFont="1" applyFill="1" applyBorder="1" applyAlignment="1" applyProtection="0">
      <alignment wrapText="1"/>
      <protection hidden="0" locked="1"/>
    </xf>
    <xf fontId="1" fillId="0" borderId="1" numFmtId="0" xfId="0" applyFont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110"/>
  </cols>
  <sheetData>
    <row r="1" ht="15.75">
      <c r="A1" s="1" t="s">
        <v>0</v>
      </c>
    </row>
    <row r="2" ht="15">
      <c r="A2" s="2"/>
    </row>
    <row r="3" ht="15">
      <c r="A3" s="3" t="s">
        <v>1</v>
      </c>
    </row>
    <row r="4" ht="15">
      <c r="A4" s="2" t="s">
        <v>2</v>
      </c>
    </row>
    <row r="5" ht="15">
      <c r="A5" s="2" t="s">
        <v>3</v>
      </c>
    </row>
    <row r="6" ht="15">
      <c r="A6" s="2" t="s">
        <v>4</v>
      </c>
    </row>
    <row r="7" ht="15">
      <c r="A7" s="2" t="s">
        <v>5</v>
      </c>
    </row>
    <row r="8" ht="15">
      <c r="A8" s="2" t="s">
        <v>6</v>
      </c>
    </row>
    <row r="9" ht="15">
      <c r="A9" s="2"/>
    </row>
    <row r="10" ht="15">
      <c r="A10" s="2" t="s">
        <v>7</v>
      </c>
    </row>
    <row r="11" ht="15">
      <c r="A11" s="2" t="s">
        <v>8</v>
      </c>
    </row>
    <row r="12" ht="15">
      <c r="A12" s="2"/>
    </row>
    <row r="13" ht="15">
      <c r="A13" s="2" t="s">
        <v>9</v>
      </c>
    </row>
    <row r="14" ht="15">
      <c r="A14" s="2" t="s">
        <v>10</v>
      </c>
    </row>
    <row r="15" ht="15">
      <c r="A15" s="2" t="s">
        <v>11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8"/>
    <col customWidth="1" min="2" max="2" style="0" width="48"/>
    <col customWidth="1" min="3" max="3" style="0" width="52"/>
    <col customWidth="1" min="4" max="4" style="0" width="16"/>
    <col customWidth="1" min="5" max="5" style="0" width="11"/>
    <col customWidth="1" min="6" max="6" style="0" width="50"/>
  </cols>
  <sheetData>
    <row r="1" ht="39.549999999999997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ht="15">
      <c r="A2" s="5" t="s">
        <v>18</v>
      </c>
      <c r="B2" s="5" t="s">
        <v>19</v>
      </c>
      <c r="C2" s="5" t="s">
        <v>20</v>
      </c>
      <c r="D2" s="6" t="s">
        <v>21</v>
      </c>
      <c r="E2" s="7" t="s">
        <v>21</v>
      </c>
      <c r="F2" s="6"/>
    </row>
    <row r="3" ht="15">
      <c r="A3" s="5" t="s">
        <v>18</v>
      </c>
      <c r="B3" s="5" t="s">
        <v>19</v>
      </c>
      <c r="C3" s="5" t="s">
        <v>22</v>
      </c>
      <c r="D3" s="6" t="s">
        <v>23</v>
      </c>
      <c r="E3" s="7" t="s">
        <v>23</v>
      </c>
      <c r="F3" s="6"/>
    </row>
    <row r="4" ht="15">
      <c r="A4" s="5" t="s">
        <v>18</v>
      </c>
      <c r="B4" s="5" t="s">
        <v>19</v>
      </c>
      <c r="C4" s="5" t="s">
        <v>24</v>
      </c>
      <c r="D4" s="6" t="s">
        <v>23</v>
      </c>
      <c r="E4" s="7" t="s">
        <v>23</v>
      </c>
      <c r="F4" s="6"/>
    </row>
    <row r="5" ht="15">
      <c r="A5" s="5" t="s">
        <v>18</v>
      </c>
      <c r="B5" s="5" t="s">
        <v>19</v>
      </c>
      <c r="C5" s="5" t="s">
        <v>25</v>
      </c>
      <c r="D5" s="6" t="s">
        <v>23</v>
      </c>
      <c r="E5" s="7" t="s">
        <v>23</v>
      </c>
      <c r="F5" s="6"/>
    </row>
    <row r="6" ht="15">
      <c r="A6" s="5" t="s">
        <v>18</v>
      </c>
      <c r="B6" s="5" t="s">
        <v>19</v>
      </c>
      <c r="C6" s="5" t="s">
        <v>26</v>
      </c>
      <c r="D6" s="6" t="s">
        <v>21</v>
      </c>
      <c r="E6" s="7" t="s">
        <v>21</v>
      </c>
      <c r="F6" s="6"/>
    </row>
    <row r="7" ht="15">
      <c r="A7" s="5" t="s">
        <v>18</v>
      </c>
      <c r="B7" s="5" t="s">
        <v>19</v>
      </c>
      <c r="C7" s="5" t="s">
        <v>27</v>
      </c>
      <c r="D7" s="6" t="s">
        <v>21</v>
      </c>
      <c r="E7" s="7" t="s">
        <v>21</v>
      </c>
      <c r="F7" s="6"/>
    </row>
    <row r="8" ht="15">
      <c r="A8" s="5" t="s">
        <v>18</v>
      </c>
      <c r="B8" s="5" t="s">
        <v>19</v>
      </c>
      <c r="C8" s="5" t="s">
        <v>28</v>
      </c>
      <c r="D8" s="6" t="s">
        <v>21</v>
      </c>
      <c r="E8" s="7" t="s">
        <v>21</v>
      </c>
      <c r="F8" s="6"/>
    </row>
    <row r="9" ht="15">
      <c r="A9" s="5" t="s">
        <v>18</v>
      </c>
      <c r="B9" s="5" t="s">
        <v>19</v>
      </c>
      <c r="C9" s="5" t="s">
        <v>29</v>
      </c>
      <c r="D9" s="6" t="s">
        <v>21</v>
      </c>
      <c r="E9" s="7" t="s">
        <v>21</v>
      </c>
      <c r="F9" s="6"/>
    </row>
    <row r="10" ht="15">
      <c r="A10" s="5" t="s">
        <v>18</v>
      </c>
      <c r="B10" s="5" t="s">
        <v>19</v>
      </c>
      <c r="C10" s="5" t="s">
        <v>30</v>
      </c>
      <c r="D10" s="6" t="s">
        <v>21</v>
      </c>
      <c r="E10" s="7" t="s">
        <v>21</v>
      </c>
      <c r="F10" s="6"/>
    </row>
    <row r="11" ht="15">
      <c r="A11" s="5" t="s">
        <v>31</v>
      </c>
      <c r="B11" s="5" t="s">
        <v>32</v>
      </c>
      <c r="C11" s="5" t="s">
        <v>20</v>
      </c>
      <c r="D11" s="6" t="s">
        <v>21</v>
      </c>
      <c r="E11" s="7" t="s">
        <v>21</v>
      </c>
      <c r="F11" s="6"/>
    </row>
    <row r="12" ht="15">
      <c r="A12" s="5" t="s">
        <v>31</v>
      </c>
      <c r="B12" s="5" t="s">
        <v>32</v>
      </c>
      <c r="C12" s="5" t="s">
        <v>33</v>
      </c>
      <c r="D12" s="6" t="s">
        <v>23</v>
      </c>
      <c r="E12" s="7" t="s">
        <v>23</v>
      </c>
      <c r="F12" s="6" t="s">
        <v>34</v>
      </c>
    </row>
    <row r="13" ht="15">
      <c r="A13" s="5" t="s">
        <v>31</v>
      </c>
      <c r="B13" s="5" t="s">
        <v>32</v>
      </c>
      <c r="C13" s="5" t="s">
        <v>24</v>
      </c>
      <c r="D13" s="6" t="s">
        <v>23</v>
      </c>
      <c r="E13" s="7" t="s">
        <v>23</v>
      </c>
      <c r="F13" s="6"/>
    </row>
    <row r="14" ht="15">
      <c r="A14" s="5" t="s">
        <v>31</v>
      </c>
      <c r="B14" s="5" t="s">
        <v>32</v>
      </c>
      <c r="C14" s="5" t="s">
        <v>25</v>
      </c>
      <c r="D14" s="6" t="s">
        <v>23</v>
      </c>
      <c r="E14" s="7" t="s">
        <v>23</v>
      </c>
      <c r="F14" s="6"/>
    </row>
    <row r="15" ht="15">
      <c r="A15" s="5" t="s">
        <v>31</v>
      </c>
      <c r="B15" s="5" t="s">
        <v>32</v>
      </c>
      <c r="C15" s="5" t="s">
        <v>26</v>
      </c>
      <c r="D15" s="6" t="s">
        <v>21</v>
      </c>
      <c r="E15" s="7" t="s">
        <v>21</v>
      </c>
      <c r="F15" s="6"/>
    </row>
    <row r="16" ht="15">
      <c r="A16" s="5" t="s">
        <v>31</v>
      </c>
      <c r="B16" s="5" t="s">
        <v>32</v>
      </c>
      <c r="C16" s="5" t="s">
        <v>27</v>
      </c>
      <c r="D16" s="6" t="s">
        <v>21</v>
      </c>
      <c r="E16" s="7" t="s">
        <v>21</v>
      </c>
      <c r="F16" s="6"/>
    </row>
    <row r="17" ht="15">
      <c r="A17" s="5" t="s">
        <v>31</v>
      </c>
      <c r="B17" s="5" t="s">
        <v>32</v>
      </c>
      <c r="C17" s="5" t="s">
        <v>28</v>
      </c>
      <c r="D17" s="6" t="s">
        <v>21</v>
      </c>
      <c r="E17" s="7" t="s">
        <v>21</v>
      </c>
      <c r="F17" s="6"/>
    </row>
    <row r="18" ht="15">
      <c r="A18" s="5" t="s">
        <v>31</v>
      </c>
      <c r="B18" s="5" t="s">
        <v>32</v>
      </c>
      <c r="C18" s="5" t="s">
        <v>29</v>
      </c>
      <c r="D18" s="6" t="s">
        <v>21</v>
      </c>
      <c r="E18" s="7" t="s">
        <v>21</v>
      </c>
      <c r="F18" s="6"/>
    </row>
    <row r="19" ht="15">
      <c r="A19" s="5" t="s">
        <v>31</v>
      </c>
      <c r="B19" s="5" t="s">
        <v>32</v>
      </c>
      <c r="C19" s="5" t="s">
        <v>30</v>
      </c>
      <c r="D19" s="6" t="s">
        <v>21</v>
      </c>
      <c r="E19" s="7" t="s">
        <v>21</v>
      </c>
      <c r="F19" s="6"/>
    </row>
    <row r="20" ht="15">
      <c r="A20" s="5" t="s">
        <v>35</v>
      </c>
      <c r="B20" s="5" t="s">
        <v>36</v>
      </c>
      <c r="C20" s="5" t="s">
        <v>20</v>
      </c>
      <c r="D20" s="6" t="s">
        <v>21</v>
      </c>
      <c r="E20" s="7" t="s">
        <v>21</v>
      </c>
      <c r="F20" s="6"/>
    </row>
    <row r="21" ht="15">
      <c r="A21" s="5" t="s">
        <v>35</v>
      </c>
      <c r="B21" s="5" t="s">
        <v>36</v>
      </c>
      <c r="C21" s="5" t="s">
        <v>22</v>
      </c>
      <c r="D21" s="6" t="s">
        <v>23</v>
      </c>
      <c r="E21" s="7" t="s">
        <v>23</v>
      </c>
      <c r="F21" s="6"/>
    </row>
    <row r="22" ht="15">
      <c r="A22" s="5" t="s">
        <v>35</v>
      </c>
      <c r="B22" s="5" t="s">
        <v>36</v>
      </c>
      <c r="C22" s="5" t="s">
        <v>33</v>
      </c>
      <c r="D22" s="6" t="s">
        <v>23</v>
      </c>
      <c r="E22" s="7" t="s">
        <v>23</v>
      </c>
      <c r="F22" s="6"/>
    </row>
    <row r="23" ht="15">
      <c r="A23" s="5" t="s">
        <v>35</v>
      </c>
      <c r="B23" s="5" t="s">
        <v>36</v>
      </c>
      <c r="C23" s="5" t="s">
        <v>37</v>
      </c>
      <c r="D23" s="6" t="s">
        <v>23</v>
      </c>
      <c r="E23" s="7" t="s">
        <v>23</v>
      </c>
      <c r="F23" s="6"/>
    </row>
    <row r="24" ht="15">
      <c r="A24" s="5" t="s">
        <v>35</v>
      </c>
      <c r="B24" s="5" t="s">
        <v>36</v>
      </c>
      <c r="C24" s="5" t="s">
        <v>38</v>
      </c>
      <c r="D24" s="6" t="s">
        <v>21</v>
      </c>
      <c r="E24" s="7" t="s">
        <v>21</v>
      </c>
      <c r="F24" s="6"/>
    </row>
    <row r="25" ht="15">
      <c r="A25" s="5" t="s">
        <v>35</v>
      </c>
      <c r="B25" s="5" t="s">
        <v>36</v>
      </c>
      <c r="C25" s="5" t="s">
        <v>29</v>
      </c>
      <c r="D25" s="6" t="s">
        <v>21</v>
      </c>
      <c r="E25" s="7" t="s">
        <v>21</v>
      </c>
      <c r="F25" s="6"/>
    </row>
    <row r="26" ht="15">
      <c r="A26" s="5" t="s">
        <v>35</v>
      </c>
      <c r="B26" s="5" t="s">
        <v>36</v>
      </c>
      <c r="C26" s="5" t="s">
        <v>30</v>
      </c>
      <c r="D26" s="6" t="s">
        <v>21</v>
      </c>
      <c r="E26" s="7" t="s">
        <v>21</v>
      </c>
      <c r="F26" s="6"/>
    </row>
    <row r="27" ht="15">
      <c r="A27" s="5" t="s">
        <v>39</v>
      </c>
      <c r="B27" s="5" t="s">
        <v>40</v>
      </c>
      <c r="C27" s="5" t="s">
        <v>20</v>
      </c>
      <c r="D27" s="6" t="s">
        <v>21</v>
      </c>
      <c r="E27" s="7" t="s">
        <v>21</v>
      </c>
      <c r="F27" s="6"/>
    </row>
    <row r="28" ht="15">
      <c r="A28" s="5" t="s">
        <v>39</v>
      </c>
      <c r="B28" s="5" t="s">
        <v>40</v>
      </c>
      <c r="C28" s="5" t="s">
        <v>33</v>
      </c>
      <c r="D28" s="6" t="s">
        <v>23</v>
      </c>
      <c r="E28" s="7" t="s">
        <v>23</v>
      </c>
      <c r="F28" s="6"/>
    </row>
    <row r="29" ht="15">
      <c r="A29" s="5" t="s">
        <v>39</v>
      </c>
      <c r="B29" s="5" t="s">
        <v>40</v>
      </c>
      <c r="C29" s="5" t="s">
        <v>37</v>
      </c>
      <c r="D29" s="6" t="s">
        <v>23</v>
      </c>
      <c r="E29" s="7" t="s">
        <v>23</v>
      </c>
      <c r="F29" s="6"/>
    </row>
    <row r="30" ht="15">
      <c r="A30" s="5" t="s">
        <v>39</v>
      </c>
      <c r="B30" s="5" t="s">
        <v>40</v>
      </c>
      <c r="C30" s="5" t="s">
        <v>27</v>
      </c>
      <c r="D30" s="6" t="s">
        <v>21</v>
      </c>
      <c r="E30" s="7" t="s">
        <v>21</v>
      </c>
      <c r="F30" s="6"/>
    </row>
    <row r="31" ht="15">
      <c r="A31" s="5" t="s">
        <v>39</v>
      </c>
      <c r="B31" s="5" t="s">
        <v>40</v>
      </c>
      <c r="C31" s="5" t="s">
        <v>28</v>
      </c>
      <c r="D31" s="6" t="s">
        <v>21</v>
      </c>
      <c r="E31" s="7" t="s">
        <v>21</v>
      </c>
      <c r="F31" s="6"/>
    </row>
    <row r="32" ht="15">
      <c r="A32" s="5" t="s">
        <v>39</v>
      </c>
      <c r="B32" s="5" t="s">
        <v>40</v>
      </c>
      <c r="C32" s="5" t="s">
        <v>29</v>
      </c>
      <c r="D32" s="6" t="s">
        <v>21</v>
      </c>
      <c r="E32" s="7" t="s">
        <v>21</v>
      </c>
      <c r="F32" s="6"/>
    </row>
    <row r="33" ht="15">
      <c r="A33" s="5" t="s">
        <v>39</v>
      </c>
      <c r="B33" s="5" t="s">
        <v>40</v>
      </c>
      <c r="C33" s="5" t="s">
        <v>30</v>
      </c>
      <c r="D33" s="6" t="s">
        <v>21</v>
      </c>
      <c r="E33" s="7" t="s">
        <v>21</v>
      </c>
      <c r="F33" s="6"/>
    </row>
    <row r="34" ht="15">
      <c r="A34" s="5" t="s">
        <v>41</v>
      </c>
      <c r="B34" s="5" t="s">
        <v>42</v>
      </c>
      <c r="C34" s="5" t="s">
        <v>20</v>
      </c>
      <c r="D34" s="6" t="s">
        <v>21</v>
      </c>
      <c r="E34" s="7" t="s">
        <v>21</v>
      </c>
      <c r="F34" s="6"/>
    </row>
    <row r="35" ht="15">
      <c r="A35" s="5" t="s">
        <v>41</v>
      </c>
      <c r="B35" s="5" t="s">
        <v>42</v>
      </c>
      <c r="C35" s="5" t="s">
        <v>22</v>
      </c>
      <c r="D35" s="6" t="s">
        <v>23</v>
      </c>
      <c r="E35" s="7" t="s">
        <v>23</v>
      </c>
      <c r="F35" s="6"/>
    </row>
    <row r="36" ht="15">
      <c r="A36" s="5" t="s">
        <v>41</v>
      </c>
      <c r="B36" s="5" t="s">
        <v>42</v>
      </c>
      <c r="C36" s="5" t="s">
        <v>43</v>
      </c>
      <c r="D36" s="6" t="s">
        <v>23</v>
      </c>
      <c r="E36" s="7" t="s">
        <v>23</v>
      </c>
      <c r="F36" s="6"/>
    </row>
    <row r="37" ht="15">
      <c r="A37" s="5" t="s">
        <v>41</v>
      </c>
      <c r="B37" s="5" t="s">
        <v>42</v>
      </c>
      <c r="C37" s="5" t="s">
        <v>44</v>
      </c>
      <c r="D37" s="6" t="s">
        <v>23</v>
      </c>
      <c r="E37" s="7" t="s">
        <v>23</v>
      </c>
      <c r="F37" s="6"/>
    </row>
    <row r="38" ht="15">
      <c r="A38" s="5" t="s">
        <v>41</v>
      </c>
      <c r="B38" s="5" t="s">
        <v>42</v>
      </c>
      <c r="C38" s="5" t="s">
        <v>45</v>
      </c>
      <c r="D38" s="6" t="s">
        <v>21</v>
      </c>
      <c r="E38" s="7" t="s">
        <v>21</v>
      </c>
      <c r="F38" s="6"/>
    </row>
    <row r="39" ht="15">
      <c r="A39" s="5" t="s">
        <v>41</v>
      </c>
      <c r="B39" s="5" t="s">
        <v>42</v>
      </c>
      <c r="C39" s="5" t="s">
        <v>46</v>
      </c>
      <c r="D39" s="6" t="s">
        <v>23</v>
      </c>
      <c r="E39" s="7" t="s">
        <v>23</v>
      </c>
      <c r="F39" s="6"/>
    </row>
    <row r="40" ht="15">
      <c r="A40" s="5" t="s">
        <v>41</v>
      </c>
      <c r="B40" s="5" t="s">
        <v>42</v>
      </c>
      <c r="C40" s="5" t="s">
        <v>47</v>
      </c>
      <c r="D40" s="6" t="s">
        <v>21</v>
      </c>
      <c r="E40" s="7" t="s">
        <v>21</v>
      </c>
      <c r="F40" s="6"/>
    </row>
    <row r="41" ht="15">
      <c r="A41" s="5" t="s">
        <v>41</v>
      </c>
      <c r="B41" s="5" t="s">
        <v>42</v>
      </c>
      <c r="C41" s="5" t="s">
        <v>48</v>
      </c>
      <c r="D41" s="6" t="s">
        <v>21</v>
      </c>
      <c r="E41" s="7" t="s">
        <v>21</v>
      </c>
      <c r="F41" s="6"/>
    </row>
    <row r="42" ht="15">
      <c r="A42" s="5" t="s">
        <v>41</v>
      </c>
      <c r="B42" s="5" t="s">
        <v>42</v>
      </c>
      <c r="C42" s="5" t="s">
        <v>29</v>
      </c>
      <c r="D42" s="6" t="s">
        <v>21</v>
      </c>
      <c r="E42" s="7" t="s">
        <v>21</v>
      </c>
      <c r="F42" s="6"/>
    </row>
    <row r="43" ht="15">
      <c r="A43" s="5" t="s">
        <v>41</v>
      </c>
      <c r="B43" s="5" t="s">
        <v>42</v>
      </c>
      <c r="C43" s="5" t="s">
        <v>30</v>
      </c>
      <c r="D43" s="6" t="s">
        <v>21</v>
      </c>
      <c r="E43" s="7" t="s">
        <v>21</v>
      </c>
      <c r="F43" s="6"/>
    </row>
    <row r="44" ht="15">
      <c r="A44" s="5" t="s">
        <v>49</v>
      </c>
      <c r="B44" s="5" t="s">
        <v>50</v>
      </c>
      <c r="C44" s="5" t="s">
        <v>20</v>
      </c>
      <c r="D44" s="6" t="s">
        <v>21</v>
      </c>
      <c r="E44" s="7" t="s">
        <v>21</v>
      </c>
      <c r="F44" s="6"/>
    </row>
    <row r="45" ht="15">
      <c r="A45" s="5" t="s">
        <v>49</v>
      </c>
      <c r="B45" s="5" t="s">
        <v>50</v>
      </c>
      <c r="C45" s="5" t="s">
        <v>33</v>
      </c>
      <c r="D45" s="6" t="s">
        <v>23</v>
      </c>
      <c r="E45" s="7" t="s">
        <v>23</v>
      </c>
      <c r="F45" s="6"/>
    </row>
    <row r="46" ht="15">
      <c r="A46" s="5" t="s">
        <v>49</v>
      </c>
      <c r="B46" s="5" t="s">
        <v>50</v>
      </c>
      <c r="C46" s="5" t="s">
        <v>44</v>
      </c>
      <c r="D46" s="6" t="s">
        <v>23</v>
      </c>
      <c r="E46" s="7" t="s">
        <v>23</v>
      </c>
      <c r="F46" s="6"/>
    </row>
    <row r="47" ht="15">
      <c r="A47" s="5" t="s">
        <v>49</v>
      </c>
      <c r="B47" s="5" t="s">
        <v>50</v>
      </c>
      <c r="C47" s="5" t="s">
        <v>45</v>
      </c>
      <c r="D47" s="6" t="s">
        <v>21</v>
      </c>
      <c r="E47" s="7" t="s">
        <v>21</v>
      </c>
      <c r="F47" s="6"/>
    </row>
    <row r="48" ht="15">
      <c r="A48" s="5" t="s">
        <v>49</v>
      </c>
      <c r="B48" s="5" t="s">
        <v>50</v>
      </c>
      <c r="C48" s="5" t="s">
        <v>47</v>
      </c>
      <c r="D48" s="6" t="s">
        <v>21</v>
      </c>
      <c r="E48" s="7" t="s">
        <v>21</v>
      </c>
      <c r="F48" s="6"/>
    </row>
    <row r="49" ht="15">
      <c r="A49" s="5" t="s">
        <v>49</v>
      </c>
      <c r="B49" s="5" t="s">
        <v>50</v>
      </c>
      <c r="C49" s="5" t="s">
        <v>48</v>
      </c>
      <c r="D49" s="6" t="s">
        <v>21</v>
      </c>
      <c r="E49" s="7" t="s">
        <v>21</v>
      </c>
      <c r="F49" s="6"/>
    </row>
    <row r="50" ht="15">
      <c r="A50" s="5" t="s">
        <v>49</v>
      </c>
      <c r="B50" s="5" t="s">
        <v>50</v>
      </c>
      <c r="C50" s="5" t="s">
        <v>29</v>
      </c>
      <c r="D50" s="6" t="s">
        <v>21</v>
      </c>
      <c r="E50" s="7" t="s">
        <v>21</v>
      </c>
      <c r="F50" s="6"/>
    </row>
    <row r="51" ht="15">
      <c r="A51" s="5" t="s">
        <v>49</v>
      </c>
      <c r="B51" s="5" t="s">
        <v>50</v>
      </c>
      <c r="C51" s="5" t="s">
        <v>30</v>
      </c>
      <c r="D51" s="6" t="s">
        <v>21</v>
      </c>
      <c r="E51" s="7" t="s">
        <v>21</v>
      </c>
      <c r="F51" s="6"/>
    </row>
    <row r="52" ht="15">
      <c r="A52" s="5" t="s">
        <v>51</v>
      </c>
      <c r="B52" s="5" t="s">
        <v>52</v>
      </c>
      <c r="C52" s="5" t="s">
        <v>20</v>
      </c>
      <c r="D52" s="6" t="s">
        <v>21</v>
      </c>
      <c r="E52" s="7" t="s">
        <v>21</v>
      </c>
      <c r="F52" s="6"/>
    </row>
    <row r="53" ht="15">
      <c r="A53" s="5" t="s">
        <v>51</v>
      </c>
      <c r="B53" s="5" t="s">
        <v>52</v>
      </c>
      <c r="C53" s="5" t="s">
        <v>22</v>
      </c>
      <c r="D53" s="6" t="s">
        <v>23</v>
      </c>
      <c r="E53" s="7" t="s">
        <v>23</v>
      </c>
      <c r="F53" s="6"/>
    </row>
    <row r="54" ht="15">
      <c r="A54" s="5" t="s">
        <v>51</v>
      </c>
      <c r="B54" s="5" t="s">
        <v>52</v>
      </c>
      <c r="C54" s="5" t="s">
        <v>53</v>
      </c>
      <c r="D54" s="6" t="s">
        <v>23</v>
      </c>
      <c r="E54" s="7" t="s">
        <v>23</v>
      </c>
      <c r="F54" s="6"/>
    </row>
    <row r="55" ht="15">
      <c r="A55" s="5" t="s">
        <v>51</v>
      </c>
      <c r="B55" s="5" t="s">
        <v>52</v>
      </c>
      <c r="C55" s="5" t="s">
        <v>25</v>
      </c>
      <c r="D55" s="6" t="s">
        <v>23</v>
      </c>
      <c r="E55" s="7" t="s">
        <v>23</v>
      </c>
      <c r="F55" s="6"/>
    </row>
    <row r="56" ht="15">
      <c r="A56" s="5" t="s">
        <v>51</v>
      </c>
      <c r="B56" s="5" t="s">
        <v>52</v>
      </c>
      <c r="C56" s="5" t="s">
        <v>54</v>
      </c>
      <c r="D56" s="6" t="s">
        <v>21</v>
      </c>
      <c r="E56" s="7" t="s">
        <v>21</v>
      </c>
      <c r="F56" s="6"/>
    </row>
    <row r="57" ht="15">
      <c r="A57" s="5" t="s">
        <v>51</v>
      </c>
      <c r="B57" s="5" t="s">
        <v>52</v>
      </c>
      <c r="C57" s="5" t="s">
        <v>55</v>
      </c>
      <c r="D57" s="6" t="s">
        <v>21</v>
      </c>
      <c r="E57" s="7" t="s">
        <v>21</v>
      </c>
      <c r="F57" s="6"/>
    </row>
    <row r="58" ht="15">
      <c r="A58" s="5" t="s">
        <v>51</v>
      </c>
      <c r="B58" s="5" t="s">
        <v>52</v>
      </c>
      <c r="C58" s="5" t="s">
        <v>56</v>
      </c>
      <c r="D58" s="6" t="s">
        <v>21</v>
      </c>
      <c r="E58" s="7" t="s">
        <v>21</v>
      </c>
      <c r="F58" s="6"/>
    </row>
    <row r="59" ht="15">
      <c r="A59" s="5" t="s">
        <v>51</v>
      </c>
      <c r="B59" s="5" t="s">
        <v>52</v>
      </c>
      <c r="C59" s="5" t="s">
        <v>57</v>
      </c>
      <c r="D59" s="6" t="s">
        <v>21</v>
      </c>
      <c r="E59" s="7" t="s">
        <v>21</v>
      </c>
      <c r="F59" s="6"/>
    </row>
    <row r="60" ht="15">
      <c r="A60" s="5" t="s">
        <v>51</v>
      </c>
      <c r="B60" s="5" t="s">
        <v>52</v>
      </c>
      <c r="C60" s="5" t="s">
        <v>29</v>
      </c>
      <c r="D60" s="6" t="s">
        <v>21</v>
      </c>
      <c r="E60" s="7" t="s">
        <v>21</v>
      </c>
      <c r="F60" s="6"/>
    </row>
    <row r="61" ht="15">
      <c r="A61" s="5" t="s">
        <v>51</v>
      </c>
      <c r="B61" s="5" t="s">
        <v>52</v>
      </c>
      <c r="C61" s="5" t="s">
        <v>30</v>
      </c>
      <c r="D61" s="6" t="s">
        <v>21</v>
      </c>
      <c r="E61" s="7" t="s">
        <v>21</v>
      </c>
      <c r="F61" s="6"/>
    </row>
    <row r="62" ht="15">
      <c r="A62" s="5" t="s">
        <v>58</v>
      </c>
      <c r="B62" s="5" t="s">
        <v>59</v>
      </c>
      <c r="C62" s="5" t="s">
        <v>20</v>
      </c>
      <c r="D62" s="6" t="s">
        <v>21</v>
      </c>
      <c r="E62" s="7" t="s">
        <v>21</v>
      </c>
      <c r="F62" s="6"/>
    </row>
    <row r="63" ht="15">
      <c r="A63" s="5" t="s">
        <v>58</v>
      </c>
      <c r="B63" s="5" t="s">
        <v>59</v>
      </c>
      <c r="C63" s="5" t="s">
        <v>33</v>
      </c>
      <c r="D63" s="6" t="s">
        <v>23</v>
      </c>
      <c r="E63" s="7" t="s">
        <v>23</v>
      </c>
      <c r="F63" s="6"/>
    </row>
    <row r="64" ht="15">
      <c r="A64" s="5" t="s">
        <v>58</v>
      </c>
      <c r="B64" s="5" t="s">
        <v>59</v>
      </c>
      <c r="C64" s="5" t="s">
        <v>53</v>
      </c>
      <c r="D64" s="6" t="s">
        <v>23</v>
      </c>
      <c r="E64" s="7" t="s">
        <v>23</v>
      </c>
      <c r="F64" s="6"/>
    </row>
    <row r="65" ht="15">
      <c r="A65" s="5" t="s">
        <v>58</v>
      </c>
      <c r="B65" s="5" t="s">
        <v>59</v>
      </c>
      <c r="C65" s="5" t="s">
        <v>25</v>
      </c>
      <c r="D65" s="6" t="s">
        <v>23</v>
      </c>
      <c r="E65" s="7" t="s">
        <v>23</v>
      </c>
      <c r="F65" s="6"/>
    </row>
    <row r="66" ht="15">
      <c r="A66" s="5" t="s">
        <v>58</v>
      </c>
      <c r="B66" s="5" t="s">
        <v>59</v>
      </c>
      <c r="C66" s="5" t="s">
        <v>54</v>
      </c>
      <c r="D66" s="6" t="s">
        <v>21</v>
      </c>
      <c r="E66" s="7" t="s">
        <v>21</v>
      </c>
      <c r="F66" s="6"/>
    </row>
    <row r="67" ht="15">
      <c r="A67" s="5" t="s">
        <v>58</v>
      </c>
      <c r="B67" s="5" t="s">
        <v>59</v>
      </c>
      <c r="C67" s="5" t="s">
        <v>55</v>
      </c>
      <c r="D67" s="6" t="s">
        <v>21</v>
      </c>
      <c r="E67" s="7" t="s">
        <v>21</v>
      </c>
      <c r="F67" s="6"/>
    </row>
    <row r="68" ht="15">
      <c r="A68" s="5" t="s">
        <v>58</v>
      </c>
      <c r="B68" s="5" t="s">
        <v>59</v>
      </c>
      <c r="C68" s="5" t="s">
        <v>56</v>
      </c>
      <c r="D68" s="6" t="s">
        <v>21</v>
      </c>
      <c r="E68" s="7" t="s">
        <v>21</v>
      </c>
      <c r="F68" s="6"/>
    </row>
    <row r="69" ht="15">
      <c r="A69" s="5" t="s">
        <v>58</v>
      </c>
      <c r="B69" s="5" t="s">
        <v>59</v>
      </c>
      <c r="C69" s="5" t="s">
        <v>57</v>
      </c>
      <c r="D69" s="6" t="s">
        <v>21</v>
      </c>
      <c r="E69" s="7" t="s">
        <v>21</v>
      </c>
      <c r="F69" s="6"/>
    </row>
    <row r="70" ht="15">
      <c r="A70" s="5" t="s">
        <v>58</v>
      </c>
      <c r="B70" s="5" t="s">
        <v>59</v>
      </c>
      <c r="C70" s="5" t="s">
        <v>29</v>
      </c>
      <c r="D70" s="6" t="s">
        <v>21</v>
      </c>
      <c r="E70" s="7" t="s">
        <v>21</v>
      </c>
      <c r="F70" s="6"/>
    </row>
    <row r="71" ht="15">
      <c r="A71" s="5" t="s">
        <v>58</v>
      </c>
      <c r="B71" s="5" t="s">
        <v>59</v>
      </c>
      <c r="C71" s="5" t="s">
        <v>30</v>
      </c>
      <c r="D71" s="6" t="s">
        <v>21</v>
      </c>
      <c r="E71" s="7" t="s">
        <v>21</v>
      </c>
      <c r="F71" s="6"/>
    </row>
    <row r="72" ht="15">
      <c r="A72" s="5" t="s">
        <v>60</v>
      </c>
      <c r="B72" s="5" t="s">
        <v>61</v>
      </c>
      <c r="C72" s="5" t="s">
        <v>20</v>
      </c>
      <c r="D72" s="6" t="s">
        <v>21</v>
      </c>
      <c r="E72" s="7" t="s">
        <v>21</v>
      </c>
      <c r="F72" s="6"/>
    </row>
    <row r="73" ht="15">
      <c r="A73" s="5" t="s">
        <v>60</v>
      </c>
      <c r="B73" s="5" t="s">
        <v>61</v>
      </c>
      <c r="C73" s="5" t="s">
        <v>33</v>
      </c>
      <c r="D73" s="6" t="s">
        <v>23</v>
      </c>
      <c r="E73" s="7" t="s">
        <v>23</v>
      </c>
      <c r="F73" s="6"/>
    </row>
    <row r="74" ht="15">
      <c r="A74" s="5" t="s">
        <v>60</v>
      </c>
      <c r="B74" s="5" t="s">
        <v>61</v>
      </c>
      <c r="C74" s="5" t="s">
        <v>62</v>
      </c>
      <c r="D74" s="6" t="s">
        <v>23</v>
      </c>
      <c r="E74" s="7" t="s">
        <v>23</v>
      </c>
      <c r="F74" s="6"/>
    </row>
    <row r="75" ht="15">
      <c r="A75" s="5" t="s">
        <v>60</v>
      </c>
      <c r="B75" s="5" t="s">
        <v>61</v>
      </c>
      <c r="C75" s="5" t="s">
        <v>54</v>
      </c>
      <c r="D75" s="6" t="s">
        <v>21</v>
      </c>
      <c r="E75" s="7" t="s">
        <v>21</v>
      </c>
      <c r="F75" s="6"/>
    </row>
    <row r="76" ht="15">
      <c r="A76" s="5" t="s">
        <v>60</v>
      </c>
      <c r="B76" s="5" t="s">
        <v>61</v>
      </c>
      <c r="C76" s="5" t="s">
        <v>55</v>
      </c>
      <c r="D76" s="6" t="s">
        <v>21</v>
      </c>
      <c r="E76" s="7" t="s">
        <v>21</v>
      </c>
      <c r="F76" s="6"/>
    </row>
    <row r="77" ht="15">
      <c r="A77" s="5" t="s">
        <v>60</v>
      </c>
      <c r="B77" s="5" t="s">
        <v>61</v>
      </c>
      <c r="C77" s="5" t="s">
        <v>56</v>
      </c>
      <c r="D77" s="6" t="s">
        <v>21</v>
      </c>
      <c r="E77" s="7" t="s">
        <v>21</v>
      </c>
      <c r="F77" s="6"/>
    </row>
    <row r="78" ht="15">
      <c r="A78" s="5" t="s">
        <v>60</v>
      </c>
      <c r="B78" s="5" t="s">
        <v>61</v>
      </c>
      <c r="C78" s="5" t="s">
        <v>57</v>
      </c>
      <c r="D78" s="6" t="s">
        <v>21</v>
      </c>
      <c r="E78" s="7" t="s">
        <v>21</v>
      </c>
      <c r="F78" s="6"/>
    </row>
    <row r="79" ht="15">
      <c r="A79" s="5" t="s">
        <v>60</v>
      </c>
      <c r="B79" s="5" t="s">
        <v>61</v>
      </c>
      <c r="C79" s="5" t="s">
        <v>29</v>
      </c>
      <c r="D79" s="6" t="s">
        <v>21</v>
      </c>
      <c r="E79" s="7" t="s">
        <v>21</v>
      </c>
      <c r="F79" s="6"/>
    </row>
    <row r="80" ht="15">
      <c r="A80" s="5" t="s">
        <v>60</v>
      </c>
      <c r="B80" s="5" t="s">
        <v>61</v>
      </c>
      <c r="C80" s="5" t="s">
        <v>30</v>
      </c>
      <c r="D80" s="6" t="s">
        <v>21</v>
      </c>
      <c r="E80" s="7" t="s">
        <v>21</v>
      </c>
      <c r="F80" s="6"/>
    </row>
    <row r="81" ht="15">
      <c r="A81" s="5" t="s">
        <v>63</v>
      </c>
      <c r="B81" s="5" t="s">
        <v>64</v>
      </c>
      <c r="C81" s="5" t="s">
        <v>20</v>
      </c>
      <c r="D81" s="6" t="s">
        <v>21</v>
      </c>
      <c r="E81" s="7" t="s">
        <v>21</v>
      </c>
      <c r="F81" s="6"/>
    </row>
    <row r="82" ht="15">
      <c r="A82" s="5" t="s">
        <v>63</v>
      </c>
      <c r="B82" s="5" t="s">
        <v>64</v>
      </c>
      <c r="C82" s="5" t="s">
        <v>22</v>
      </c>
      <c r="D82" s="6" t="s">
        <v>23</v>
      </c>
      <c r="E82" s="7" t="s">
        <v>23</v>
      </c>
      <c r="F82" s="6"/>
    </row>
    <row r="83" ht="15">
      <c r="A83" s="5" t="s">
        <v>63</v>
      </c>
      <c r="B83" s="5" t="s">
        <v>64</v>
      </c>
      <c r="C83" s="5" t="s">
        <v>24</v>
      </c>
      <c r="D83" s="6" t="s">
        <v>23</v>
      </c>
      <c r="E83" s="7" t="s">
        <v>23</v>
      </c>
      <c r="F83" s="6"/>
    </row>
    <row r="84" ht="15">
      <c r="A84" s="5" t="s">
        <v>63</v>
      </c>
      <c r="B84" s="5" t="s">
        <v>64</v>
      </c>
      <c r="C84" s="5" t="s">
        <v>65</v>
      </c>
      <c r="D84" s="6" t="s">
        <v>23</v>
      </c>
      <c r="E84" s="7" t="s">
        <v>23</v>
      </c>
      <c r="F84" s="6"/>
    </row>
    <row r="85" ht="15">
      <c r="A85" s="5" t="s">
        <v>63</v>
      </c>
      <c r="B85" s="5" t="s">
        <v>64</v>
      </c>
      <c r="C85" s="5" t="s">
        <v>66</v>
      </c>
      <c r="D85" s="6" t="s">
        <v>21</v>
      </c>
      <c r="E85" s="7" t="s">
        <v>21</v>
      </c>
      <c r="F85" s="6"/>
    </row>
    <row r="86" ht="15">
      <c r="A86" s="5" t="s">
        <v>63</v>
      </c>
      <c r="B86" s="5" t="s">
        <v>64</v>
      </c>
      <c r="C86" s="5" t="s">
        <v>67</v>
      </c>
      <c r="D86" s="6" t="s">
        <v>21</v>
      </c>
      <c r="E86" s="7" t="s">
        <v>21</v>
      </c>
      <c r="F86" s="6"/>
    </row>
    <row r="87" ht="15">
      <c r="A87" s="5" t="s">
        <v>63</v>
      </c>
      <c r="B87" s="5" t="s">
        <v>64</v>
      </c>
      <c r="C87" s="5" t="s">
        <v>68</v>
      </c>
      <c r="D87" s="6" t="s">
        <v>21</v>
      </c>
      <c r="E87" s="7" t="s">
        <v>21</v>
      </c>
      <c r="F87" s="6"/>
    </row>
    <row r="88" ht="15">
      <c r="A88" s="5" t="s">
        <v>63</v>
      </c>
      <c r="B88" s="5" t="s">
        <v>64</v>
      </c>
      <c r="C88" s="5" t="s">
        <v>69</v>
      </c>
      <c r="D88" s="6" t="s">
        <v>21</v>
      </c>
      <c r="E88" s="7" t="s">
        <v>21</v>
      </c>
      <c r="F88" s="6"/>
    </row>
    <row r="89" ht="15">
      <c r="A89" s="5" t="s">
        <v>63</v>
      </c>
      <c r="B89" s="5" t="s">
        <v>64</v>
      </c>
      <c r="C89" s="5" t="s">
        <v>70</v>
      </c>
      <c r="D89" s="6" t="s">
        <v>21</v>
      </c>
      <c r="E89" s="7" t="s">
        <v>21</v>
      </c>
      <c r="F89" s="6"/>
    </row>
    <row r="90" ht="15">
      <c r="A90" s="5" t="s">
        <v>63</v>
      </c>
      <c r="B90" s="5" t="s">
        <v>64</v>
      </c>
      <c r="C90" s="5" t="s">
        <v>46</v>
      </c>
      <c r="D90" s="6" t="s">
        <v>23</v>
      </c>
      <c r="E90" s="7" t="s">
        <v>23</v>
      </c>
      <c r="F90" s="6"/>
    </row>
    <row r="91" ht="15">
      <c r="A91" s="5" t="s">
        <v>63</v>
      </c>
      <c r="B91" s="5" t="s">
        <v>64</v>
      </c>
      <c r="C91" s="5" t="s">
        <v>71</v>
      </c>
      <c r="D91" s="6" t="s">
        <v>21</v>
      </c>
      <c r="E91" s="7" t="s">
        <v>21</v>
      </c>
      <c r="F91" s="6"/>
    </row>
    <row r="92" ht="15">
      <c r="A92" s="5" t="s">
        <v>63</v>
      </c>
      <c r="B92" s="5" t="s">
        <v>64</v>
      </c>
      <c r="C92" s="5" t="s">
        <v>72</v>
      </c>
      <c r="D92" s="6" t="s">
        <v>21</v>
      </c>
      <c r="E92" s="7" t="s">
        <v>21</v>
      </c>
      <c r="F92" s="6"/>
    </row>
    <row r="93" ht="15">
      <c r="A93" s="5" t="s">
        <v>63</v>
      </c>
      <c r="B93" s="5" t="s">
        <v>64</v>
      </c>
      <c r="C93" s="5" t="s">
        <v>73</v>
      </c>
      <c r="D93" s="6" t="s">
        <v>21</v>
      </c>
      <c r="E93" s="7" t="s">
        <v>21</v>
      </c>
      <c r="F93" s="6"/>
    </row>
    <row r="94" ht="15">
      <c r="A94" s="5" t="s">
        <v>63</v>
      </c>
      <c r="B94" s="5" t="s">
        <v>64</v>
      </c>
      <c r="C94" s="5" t="s">
        <v>74</v>
      </c>
      <c r="D94" s="6" t="s">
        <v>21</v>
      </c>
      <c r="E94" s="7" t="s">
        <v>21</v>
      </c>
      <c r="F94" s="6"/>
    </row>
    <row r="95" ht="15">
      <c r="A95" s="5" t="s">
        <v>63</v>
      </c>
      <c r="B95" s="5" t="s">
        <v>64</v>
      </c>
      <c r="C95" s="5" t="s">
        <v>75</v>
      </c>
      <c r="D95" s="6" t="s">
        <v>21</v>
      </c>
      <c r="E95" s="7" t="s">
        <v>21</v>
      </c>
      <c r="F95" s="6"/>
    </row>
    <row r="96" ht="15">
      <c r="A96" s="5" t="s">
        <v>63</v>
      </c>
      <c r="B96" s="5" t="s">
        <v>64</v>
      </c>
      <c r="C96" s="5" t="s">
        <v>76</v>
      </c>
      <c r="D96" s="6" t="s">
        <v>21</v>
      </c>
      <c r="E96" s="7" t="s">
        <v>21</v>
      </c>
      <c r="F96" s="6"/>
    </row>
    <row r="97" ht="15">
      <c r="A97" s="5" t="s">
        <v>63</v>
      </c>
      <c r="B97" s="5" t="s">
        <v>64</v>
      </c>
      <c r="C97" s="5" t="s">
        <v>77</v>
      </c>
      <c r="D97" s="6" t="s">
        <v>21</v>
      </c>
      <c r="E97" s="7" t="s">
        <v>21</v>
      </c>
      <c r="F97" s="6"/>
    </row>
    <row r="98" ht="15">
      <c r="A98" s="5" t="s">
        <v>63</v>
      </c>
      <c r="B98" s="5" t="s">
        <v>64</v>
      </c>
      <c r="C98" s="5" t="s">
        <v>78</v>
      </c>
      <c r="D98" s="6" t="s">
        <v>21</v>
      </c>
      <c r="E98" s="7" t="s">
        <v>21</v>
      </c>
      <c r="F98" s="6"/>
    </row>
    <row r="99" ht="15">
      <c r="A99" s="5" t="s">
        <v>79</v>
      </c>
      <c r="B99" s="5" t="s">
        <v>80</v>
      </c>
      <c r="C99" s="5" t="s">
        <v>20</v>
      </c>
      <c r="D99" s="6" t="s">
        <v>21</v>
      </c>
      <c r="E99" s="7" t="s">
        <v>21</v>
      </c>
      <c r="F99" s="6"/>
    </row>
    <row r="100" ht="15">
      <c r="A100" s="5" t="s">
        <v>79</v>
      </c>
      <c r="B100" s="5" t="s">
        <v>80</v>
      </c>
      <c r="C100" s="5" t="s">
        <v>22</v>
      </c>
      <c r="D100" s="6" t="s">
        <v>23</v>
      </c>
      <c r="E100" s="7" t="s">
        <v>23</v>
      </c>
      <c r="F100" s="6"/>
    </row>
    <row r="101" ht="15">
      <c r="A101" s="5" t="s">
        <v>79</v>
      </c>
      <c r="B101" s="5" t="s">
        <v>80</v>
      </c>
      <c r="C101" s="5" t="s">
        <v>24</v>
      </c>
      <c r="D101" s="6" t="s">
        <v>23</v>
      </c>
      <c r="E101" s="7" t="s">
        <v>23</v>
      </c>
      <c r="F101" s="6"/>
    </row>
    <row r="102" ht="15">
      <c r="A102" s="5" t="s">
        <v>79</v>
      </c>
      <c r="B102" s="5" t="s">
        <v>80</v>
      </c>
      <c r="C102" s="5" t="s">
        <v>65</v>
      </c>
      <c r="D102" s="6" t="s">
        <v>23</v>
      </c>
      <c r="E102" s="7" t="s">
        <v>23</v>
      </c>
      <c r="F102" s="6"/>
    </row>
    <row r="103" ht="15">
      <c r="A103" s="5" t="s">
        <v>79</v>
      </c>
      <c r="B103" s="5" t="s">
        <v>80</v>
      </c>
      <c r="C103" s="5" t="s">
        <v>66</v>
      </c>
      <c r="D103" s="6" t="s">
        <v>21</v>
      </c>
      <c r="E103" s="7" t="s">
        <v>21</v>
      </c>
      <c r="F103" s="6"/>
    </row>
    <row r="104" ht="15">
      <c r="A104" s="5" t="s">
        <v>79</v>
      </c>
      <c r="B104" s="5" t="s">
        <v>80</v>
      </c>
      <c r="C104" s="5" t="s">
        <v>67</v>
      </c>
      <c r="D104" s="6" t="s">
        <v>21</v>
      </c>
      <c r="E104" s="7" t="s">
        <v>21</v>
      </c>
      <c r="F104" s="6"/>
    </row>
    <row r="105" ht="15">
      <c r="A105" s="5" t="s">
        <v>79</v>
      </c>
      <c r="B105" s="5" t="s">
        <v>80</v>
      </c>
      <c r="C105" s="5" t="s">
        <v>68</v>
      </c>
      <c r="D105" s="6" t="s">
        <v>21</v>
      </c>
      <c r="E105" s="7" t="s">
        <v>21</v>
      </c>
      <c r="F105" s="6"/>
    </row>
    <row r="106" ht="15">
      <c r="A106" s="5" t="s">
        <v>79</v>
      </c>
      <c r="B106" s="5" t="s">
        <v>80</v>
      </c>
      <c r="C106" s="5" t="s">
        <v>69</v>
      </c>
      <c r="D106" s="6" t="s">
        <v>21</v>
      </c>
      <c r="E106" s="7" t="s">
        <v>21</v>
      </c>
      <c r="F106" s="6"/>
    </row>
    <row r="107" ht="15">
      <c r="A107" s="5" t="s">
        <v>79</v>
      </c>
      <c r="B107" s="5" t="s">
        <v>80</v>
      </c>
      <c r="C107" s="5" t="s">
        <v>70</v>
      </c>
      <c r="D107" s="6" t="s">
        <v>21</v>
      </c>
      <c r="E107" s="7" t="s">
        <v>21</v>
      </c>
      <c r="F107" s="6"/>
    </row>
    <row r="108" ht="15">
      <c r="A108" s="5" t="s">
        <v>79</v>
      </c>
      <c r="B108" s="5" t="s">
        <v>80</v>
      </c>
      <c r="C108" s="5" t="s">
        <v>46</v>
      </c>
      <c r="D108" s="6" t="s">
        <v>23</v>
      </c>
      <c r="E108" s="7" t="s">
        <v>23</v>
      </c>
      <c r="F108" s="6"/>
    </row>
    <row r="109" ht="15">
      <c r="A109" s="5" t="s">
        <v>79</v>
      </c>
      <c r="B109" s="5" t="s">
        <v>80</v>
      </c>
      <c r="C109" s="5" t="s">
        <v>71</v>
      </c>
      <c r="D109" s="6" t="s">
        <v>21</v>
      </c>
      <c r="E109" s="7" t="s">
        <v>21</v>
      </c>
      <c r="F109" s="6"/>
    </row>
    <row r="110" ht="15">
      <c r="A110" s="5" t="s">
        <v>79</v>
      </c>
      <c r="B110" s="5" t="s">
        <v>80</v>
      </c>
      <c r="C110" s="5" t="s">
        <v>72</v>
      </c>
      <c r="D110" s="6" t="s">
        <v>21</v>
      </c>
      <c r="E110" s="7" t="s">
        <v>21</v>
      </c>
      <c r="F110" s="6"/>
    </row>
    <row r="111" ht="15">
      <c r="A111" s="5" t="s">
        <v>79</v>
      </c>
      <c r="B111" s="5" t="s">
        <v>80</v>
      </c>
      <c r="C111" s="5" t="s">
        <v>73</v>
      </c>
      <c r="D111" s="6" t="s">
        <v>21</v>
      </c>
      <c r="E111" s="7" t="s">
        <v>21</v>
      </c>
      <c r="F111" s="6"/>
    </row>
    <row r="112" ht="15">
      <c r="A112" s="5" t="s">
        <v>79</v>
      </c>
      <c r="B112" s="5" t="s">
        <v>80</v>
      </c>
      <c r="C112" s="5" t="s">
        <v>74</v>
      </c>
      <c r="D112" s="6" t="s">
        <v>21</v>
      </c>
      <c r="E112" s="7" t="s">
        <v>21</v>
      </c>
      <c r="F112" s="6"/>
    </row>
    <row r="113" ht="15">
      <c r="A113" s="5" t="s">
        <v>79</v>
      </c>
      <c r="B113" s="5" t="s">
        <v>80</v>
      </c>
      <c r="C113" s="5" t="s">
        <v>75</v>
      </c>
      <c r="D113" s="6" t="s">
        <v>21</v>
      </c>
      <c r="E113" s="7" t="s">
        <v>21</v>
      </c>
      <c r="F113" s="6"/>
    </row>
    <row r="114" ht="15">
      <c r="A114" s="5" t="s">
        <v>79</v>
      </c>
      <c r="B114" s="5" t="s">
        <v>80</v>
      </c>
      <c r="C114" s="5" t="s">
        <v>76</v>
      </c>
      <c r="D114" s="6" t="s">
        <v>21</v>
      </c>
      <c r="E114" s="7" t="s">
        <v>21</v>
      </c>
      <c r="F114" s="6"/>
    </row>
    <row r="115" ht="15">
      <c r="A115" s="5" t="s">
        <v>79</v>
      </c>
      <c r="B115" s="5" t="s">
        <v>80</v>
      </c>
      <c r="C115" s="5" t="s">
        <v>77</v>
      </c>
      <c r="D115" s="6" t="s">
        <v>21</v>
      </c>
      <c r="E115" s="7" t="s">
        <v>21</v>
      </c>
      <c r="F115" s="6"/>
    </row>
    <row r="116" ht="15">
      <c r="A116" s="5" t="s">
        <v>79</v>
      </c>
      <c r="B116" s="5" t="s">
        <v>80</v>
      </c>
      <c r="C116" s="5" t="s">
        <v>78</v>
      </c>
      <c r="D116" s="6" t="s">
        <v>21</v>
      </c>
      <c r="E116" s="7" t="s">
        <v>21</v>
      </c>
      <c r="F116" s="6"/>
    </row>
    <row r="117" ht="15">
      <c r="A117" s="5" t="s">
        <v>81</v>
      </c>
      <c r="B117" s="5" t="s">
        <v>82</v>
      </c>
      <c r="C117" s="5" t="s">
        <v>20</v>
      </c>
      <c r="D117" s="6" t="s">
        <v>21</v>
      </c>
      <c r="E117" s="7" t="s">
        <v>21</v>
      </c>
      <c r="F117" s="6"/>
    </row>
    <row r="118" ht="15">
      <c r="A118" s="5" t="s">
        <v>81</v>
      </c>
      <c r="B118" s="5" t="s">
        <v>82</v>
      </c>
      <c r="C118" s="5" t="s">
        <v>22</v>
      </c>
      <c r="D118" s="6" t="s">
        <v>23</v>
      </c>
      <c r="E118" s="7" t="s">
        <v>23</v>
      </c>
      <c r="F118" s="6"/>
    </row>
    <row r="119" ht="15">
      <c r="A119" s="5" t="s">
        <v>81</v>
      </c>
      <c r="B119" s="5" t="s">
        <v>82</v>
      </c>
      <c r="C119" s="5" t="s">
        <v>33</v>
      </c>
      <c r="D119" s="6" t="s">
        <v>23</v>
      </c>
      <c r="E119" s="7" t="s">
        <v>23</v>
      </c>
      <c r="F119" s="6"/>
    </row>
    <row r="120" ht="15">
      <c r="A120" s="5" t="s">
        <v>81</v>
      </c>
      <c r="B120" s="5" t="s">
        <v>82</v>
      </c>
      <c r="C120" s="5" t="s">
        <v>83</v>
      </c>
      <c r="D120" s="6" t="s">
        <v>23</v>
      </c>
      <c r="E120" s="7" t="s">
        <v>23</v>
      </c>
      <c r="F120" s="6"/>
    </row>
    <row r="121" ht="15">
      <c r="A121" s="5" t="s">
        <v>81</v>
      </c>
      <c r="B121" s="5" t="s">
        <v>82</v>
      </c>
      <c r="C121" s="5" t="s">
        <v>24</v>
      </c>
      <c r="D121" s="6" t="s">
        <v>23</v>
      </c>
      <c r="E121" s="7" t="s">
        <v>23</v>
      </c>
      <c r="F121" s="6"/>
    </row>
    <row r="122" ht="15">
      <c r="A122" s="5" t="s">
        <v>81</v>
      </c>
      <c r="B122" s="5" t="s">
        <v>82</v>
      </c>
      <c r="C122" s="5" t="s">
        <v>65</v>
      </c>
      <c r="D122" s="6" t="s">
        <v>23</v>
      </c>
      <c r="E122" s="7" t="s">
        <v>23</v>
      </c>
      <c r="F122" s="6"/>
    </row>
    <row r="123" ht="15">
      <c r="A123" s="5" t="s">
        <v>81</v>
      </c>
      <c r="B123" s="5" t="s">
        <v>82</v>
      </c>
      <c r="C123" s="5" t="s">
        <v>66</v>
      </c>
      <c r="D123" s="6" t="s">
        <v>21</v>
      </c>
      <c r="E123" s="7" t="s">
        <v>21</v>
      </c>
      <c r="F123" s="6"/>
    </row>
    <row r="124" ht="15">
      <c r="A124" s="5" t="s">
        <v>81</v>
      </c>
      <c r="B124" s="5" t="s">
        <v>82</v>
      </c>
      <c r="C124" s="5" t="s">
        <v>67</v>
      </c>
      <c r="D124" s="6" t="s">
        <v>21</v>
      </c>
      <c r="E124" s="7" t="s">
        <v>21</v>
      </c>
      <c r="F124" s="6"/>
    </row>
    <row r="125" ht="15">
      <c r="A125" s="5" t="s">
        <v>81</v>
      </c>
      <c r="B125" s="5" t="s">
        <v>82</v>
      </c>
      <c r="C125" s="5" t="s">
        <v>68</v>
      </c>
      <c r="D125" s="6" t="s">
        <v>21</v>
      </c>
      <c r="E125" s="7" t="s">
        <v>21</v>
      </c>
      <c r="F125" s="6"/>
    </row>
    <row r="126" ht="15">
      <c r="A126" s="5" t="s">
        <v>81</v>
      </c>
      <c r="B126" s="5" t="s">
        <v>82</v>
      </c>
      <c r="C126" s="5" t="s">
        <v>69</v>
      </c>
      <c r="D126" s="6" t="s">
        <v>21</v>
      </c>
      <c r="E126" s="7" t="s">
        <v>21</v>
      </c>
      <c r="F126" s="6"/>
    </row>
    <row r="127" ht="15">
      <c r="A127" s="5" t="s">
        <v>81</v>
      </c>
      <c r="B127" s="5" t="s">
        <v>82</v>
      </c>
      <c r="C127" s="5" t="s">
        <v>70</v>
      </c>
      <c r="D127" s="6" t="s">
        <v>21</v>
      </c>
      <c r="E127" s="7" t="s">
        <v>21</v>
      </c>
      <c r="F127" s="6"/>
    </row>
    <row r="128" ht="15">
      <c r="A128" s="5" t="s">
        <v>81</v>
      </c>
      <c r="B128" s="5" t="s">
        <v>82</v>
      </c>
      <c r="C128" s="5" t="s">
        <v>46</v>
      </c>
      <c r="D128" s="6" t="s">
        <v>23</v>
      </c>
      <c r="E128" s="7" t="s">
        <v>23</v>
      </c>
      <c r="F128" s="6"/>
    </row>
    <row r="129" ht="15">
      <c r="A129" s="5" t="s">
        <v>81</v>
      </c>
      <c r="B129" s="5" t="s">
        <v>82</v>
      </c>
      <c r="C129" s="5" t="s">
        <v>71</v>
      </c>
      <c r="D129" s="6" t="s">
        <v>21</v>
      </c>
      <c r="E129" s="7" t="s">
        <v>21</v>
      </c>
      <c r="F129" s="6"/>
    </row>
    <row r="130" ht="15">
      <c r="A130" s="5" t="s">
        <v>81</v>
      </c>
      <c r="B130" s="5" t="s">
        <v>82</v>
      </c>
      <c r="C130" s="5" t="s">
        <v>72</v>
      </c>
      <c r="D130" s="6" t="s">
        <v>21</v>
      </c>
      <c r="E130" s="7" t="s">
        <v>21</v>
      </c>
      <c r="F130" s="6"/>
    </row>
    <row r="131" ht="15">
      <c r="A131" s="5" t="s">
        <v>81</v>
      </c>
      <c r="B131" s="5" t="s">
        <v>82</v>
      </c>
      <c r="C131" s="5" t="s">
        <v>73</v>
      </c>
      <c r="D131" s="6" t="s">
        <v>21</v>
      </c>
      <c r="E131" s="7" t="s">
        <v>21</v>
      </c>
      <c r="F131" s="6"/>
    </row>
    <row r="132" ht="15">
      <c r="A132" s="5" t="s">
        <v>81</v>
      </c>
      <c r="B132" s="5" t="s">
        <v>82</v>
      </c>
      <c r="C132" s="5" t="s">
        <v>74</v>
      </c>
      <c r="D132" s="6" t="s">
        <v>21</v>
      </c>
      <c r="E132" s="7" t="s">
        <v>21</v>
      </c>
      <c r="F132" s="6"/>
    </row>
    <row r="133" ht="15">
      <c r="A133" s="5" t="s">
        <v>81</v>
      </c>
      <c r="B133" s="5" t="s">
        <v>82</v>
      </c>
      <c r="C133" s="5" t="s">
        <v>75</v>
      </c>
      <c r="D133" s="6" t="s">
        <v>21</v>
      </c>
      <c r="E133" s="7" t="s">
        <v>21</v>
      </c>
      <c r="F133" s="6"/>
    </row>
    <row r="134" ht="15">
      <c r="A134" s="5" t="s">
        <v>81</v>
      </c>
      <c r="B134" s="5" t="s">
        <v>82</v>
      </c>
      <c r="C134" s="5" t="s">
        <v>76</v>
      </c>
      <c r="D134" s="6" t="s">
        <v>21</v>
      </c>
      <c r="E134" s="7" t="s">
        <v>21</v>
      </c>
      <c r="F134" s="6"/>
    </row>
    <row r="135" ht="15">
      <c r="A135" s="5" t="s">
        <v>81</v>
      </c>
      <c r="B135" s="5" t="s">
        <v>82</v>
      </c>
      <c r="C135" s="5" t="s">
        <v>77</v>
      </c>
      <c r="D135" s="6" t="s">
        <v>21</v>
      </c>
      <c r="E135" s="7" t="s">
        <v>21</v>
      </c>
      <c r="F135" s="6"/>
    </row>
    <row r="136" ht="15">
      <c r="A136" s="5" t="s">
        <v>81</v>
      </c>
      <c r="B136" s="5" t="s">
        <v>82</v>
      </c>
      <c r="C136" s="5" t="s">
        <v>78</v>
      </c>
      <c r="D136" s="6" t="s">
        <v>21</v>
      </c>
      <c r="E136" s="7" t="s">
        <v>21</v>
      </c>
      <c r="F136" s="6"/>
    </row>
    <row r="137" ht="15">
      <c r="A137" s="5" t="s">
        <v>84</v>
      </c>
      <c r="B137" s="5" t="s">
        <v>85</v>
      </c>
      <c r="C137" s="5" t="s">
        <v>20</v>
      </c>
      <c r="D137" s="6" t="s">
        <v>21</v>
      </c>
      <c r="E137" s="7" t="s">
        <v>21</v>
      </c>
      <c r="F137" s="6"/>
    </row>
    <row r="138" ht="15">
      <c r="A138" s="5" t="s">
        <v>84</v>
      </c>
      <c r="B138" s="5" t="s">
        <v>85</v>
      </c>
      <c r="C138" s="5" t="s">
        <v>33</v>
      </c>
      <c r="D138" s="6" t="s">
        <v>23</v>
      </c>
      <c r="E138" s="7" t="s">
        <v>23</v>
      </c>
      <c r="F138" s="6"/>
    </row>
    <row r="139" ht="15">
      <c r="A139" s="5" t="s">
        <v>84</v>
      </c>
      <c r="B139" s="5" t="s">
        <v>85</v>
      </c>
      <c r="C139" s="5" t="s">
        <v>83</v>
      </c>
      <c r="D139" s="6" t="s">
        <v>23</v>
      </c>
      <c r="E139" s="7" t="s">
        <v>23</v>
      </c>
      <c r="F139" s="6"/>
    </row>
    <row r="140" ht="15">
      <c r="A140" s="5" t="s">
        <v>84</v>
      </c>
      <c r="B140" s="5" t="s">
        <v>85</v>
      </c>
      <c r="C140" s="5" t="s">
        <v>65</v>
      </c>
      <c r="D140" s="6" t="s">
        <v>23</v>
      </c>
      <c r="E140" s="7" t="s">
        <v>23</v>
      </c>
      <c r="F140" s="6"/>
    </row>
    <row r="141" ht="15">
      <c r="A141" s="5" t="s">
        <v>84</v>
      </c>
      <c r="B141" s="5" t="s">
        <v>85</v>
      </c>
      <c r="C141" s="5" t="s">
        <v>66</v>
      </c>
      <c r="D141" s="6" t="s">
        <v>21</v>
      </c>
      <c r="E141" s="7" t="s">
        <v>21</v>
      </c>
      <c r="F141" s="6"/>
    </row>
    <row r="142" ht="15">
      <c r="A142" s="5" t="s">
        <v>84</v>
      </c>
      <c r="B142" s="5" t="s">
        <v>85</v>
      </c>
      <c r="C142" s="5" t="s">
        <v>67</v>
      </c>
      <c r="D142" s="6" t="s">
        <v>21</v>
      </c>
      <c r="E142" s="7" t="s">
        <v>21</v>
      </c>
      <c r="F142" s="6"/>
    </row>
    <row r="143" ht="15">
      <c r="A143" s="5" t="s">
        <v>84</v>
      </c>
      <c r="B143" s="5" t="s">
        <v>85</v>
      </c>
      <c r="C143" s="5" t="s">
        <v>68</v>
      </c>
      <c r="D143" s="6" t="s">
        <v>21</v>
      </c>
      <c r="E143" s="7" t="s">
        <v>21</v>
      </c>
      <c r="F143" s="6"/>
    </row>
    <row r="144" ht="15">
      <c r="A144" s="5" t="s">
        <v>84</v>
      </c>
      <c r="B144" s="5" t="s">
        <v>85</v>
      </c>
      <c r="C144" s="5" t="s">
        <v>69</v>
      </c>
      <c r="D144" s="6" t="s">
        <v>21</v>
      </c>
      <c r="E144" s="7" t="s">
        <v>21</v>
      </c>
      <c r="F144" s="6"/>
    </row>
    <row r="145" ht="15">
      <c r="A145" s="5" t="s">
        <v>84</v>
      </c>
      <c r="B145" s="5" t="s">
        <v>85</v>
      </c>
      <c r="C145" s="5" t="s">
        <v>70</v>
      </c>
      <c r="D145" s="6" t="s">
        <v>21</v>
      </c>
      <c r="E145" s="7" t="s">
        <v>21</v>
      </c>
      <c r="F145" s="6"/>
    </row>
    <row r="146" ht="15">
      <c r="A146" s="5" t="s">
        <v>84</v>
      </c>
      <c r="B146" s="5" t="s">
        <v>85</v>
      </c>
      <c r="C146" s="5" t="s">
        <v>46</v>
      </c>
      <c r="D146" s="6" t="s">
        <v>23</v>
      </c>
      <c r="E146" s="7" t="s">
        <v>23</v>
      </c>
      <c r="F146" s="6"/>
    </row>
    <row r="147" ht="15">
      <c r="A147" s="5" t="s">
        <v>84</v>
      </c>
      <c r="B147" s="5" t="s">
        <v>85</v>
      </c>
      <c r="C147" s="5" t="s">
        <v>71</v>
      </c>
      <c r="D147" s="6" t="s">
        <v>21</v>
      </c>
      <c r="E147" s="7" t="s">
        <v>21</v>
      </c>
      <c r="F147" s="6"/>
    </row>
    <row r="148" ht="15">
      <c r="A148" s="5" t="s">
        <v>84</v>
      </c>
      <c r="B148" s="5" t="s">
        <v>85</v>
      </c>
      <c r="C148" s="5" t="s">
        <v>72</v>
      </c>
      <c r="D148" s="6" t="s">
        <v>21</v>
      </c>
      <c r="E148" s="7" t="s">
        <v>21</v>
      </c>
      <c r="F148" s="6"/>
    </row>
    <row r="149" ht="15">
      <c r="A149" s="5" t="s">
        <v>84</v>
      </c>
      <c r="B149" s="5" t="s">
        <v>85</v>
      </c>
      <c r="C149" s="5" t="s">
        <v>73</v>
      </c>
      <c r="D149" s="6" t="s">
        <v>21</v>
      </c>
      <c r="E149" s="7" t="s">
        <v>21</v>
      </c>
      <c r="F149" s="6"/>
    </row>
    <row r="150" ht="15">
      <c r="A150" s="5" t="s">
        <v>84</v>
      </c>
      <c r="B150" s="5" t="s">
        <v>85</v>
      </c>
      <c r="C150" s="5" t="s">
        <v>74</v>
      </c>
      <c r="D150" s="6" t="s">
        <v>21</v>
      </c>
      <c r="E150" s="7" t="s">
        <v>21</v>
      </c>
      <c r="F150" s="6"/>
    </row>
    <row r="151" ht="15">
      <c r="A151" s="5" t="s">
        <v>84</v>
      </c>
      <c r="B151" s="5" t="s">
        <v>85</v>
      </c>
      <c r="C151" s="5" t="s">
        <v>75</v>
      </c>
      <c r="D151" s="6" t="s">
        <v>21</v>
      </c>
      <c r="E151" s="7" t="s">
        <v>21</v>
      </c>
      <c r="F151" s="6"/>
    </row>
    <row r="152" ht="15">
      <c r="A152" s="5" t="s">
        <v>84</v>
      </c>
      <c r="B152" s="5" t="s">
        <v>85</v>
      </c>
      <c r="C152" s="5" t="s">
        <v>76</v>
      </c>
      <c r="D152" s="6" t="s">
        <v>21</v>
      </c>
      <c r="E152" s="7" t="s">
        <v>21</v>
      </c>
      <c r="F152" s="6"/>
    </row>
    <row r="153" ht="15">
      <c r="A153" s="5" t="s">
        <v>84</v>
      </c>
      <c r="B153" s="5" t="s">
        <v>85</v>
      </c>
      <c r="C153" s="5" t="s">
        <v>77</v>
      </c>
      <c r="D153" s="6" t="s">
        <v>21</v>
      </c>
      <c r="E153" s="7" t="s">
        <v>21</v>
      </c>
      <c r="F153" s="6"/>
    </row>
    <row r="154" ht="15">
      <c r="A154" s="5" t="s">
        <v>84</v>
      </c>
      <c r="B154" s="5" t="s">
        <v>85</v>
      </c>
      <c r="C154" s="5" t="s">
        <v>78</v>
      </c>
      <c r="D154" s="6" t="s">
        <v>21</v>
      </c>
      <c r="E154" s="7" t="s">
        <v>21</v>
      </c>
      <c r="F154" s="6"/>
    </row>
    <row r="155" ht="15">
      <c r="A155" s="5" t="s">
        <v>86</v>
      </c>
      <c r="B155" s="5" t="s">
        <v>87</v>
      </c>
      <c r="C155" s="5" t="s">
        <v>88</v>
      </c>
      <c r="D155" s="6" t="s">
        <v>23</v>
      </c>
      <c r="E155" s="7" t="s">
        <v>21</v>
      </c>
      <c r="F155" s="6"/>
    </row>
    <row r="156" ht="15">
      <c r="A156" s="5" t="s">
        <v>86</v>
      </c>
      <c r="B156" s="5" t="s">
        <v>87</v>
      </c>
      <c r="C156" s="5" t="s">
        <v>20</v>
      </c>
      <c r="D156" s="6" t="s">
        <v>21</v>
      </c>
      <c r="E156" s="7" t="s">
        <v>21</v>
      </c>
      <c r="F156" s="6"/>
    </row>
    <row r="157" ht="15">
      <c r="A157" s="5" t="s">
        <v>86</v>
      </c>
      <c r="B157" s="5" t="s">
        <v>87</v>
      </c>
      <c r="C157" s="5" t="s">
        <v>22</v>
      </c>
      <c r="D157" s="6" t="s">
        <v>23</v>
      </c>
      <c r="E157" s="7" t="s">
        <v>23</v>
      </c>
      <c r="F157" s="6"/>
    </row>
    <row r="158" ht="15">
      <c r="A158" s="5" t="s">
        <v>86</v>
      </c>
      <c r="B158" s="5" t="s">
        <v>87</v>
      </c>
      <c r="C158" s="5" t="s">
        <v>29</v>
      </c>
      <c r="D158" s="6" t="s">
        <v>21</v>
      </c>
      <c r="E158" s="7" t="s">
        <v>21</v>
      </c>
      <c r="F158" s="6"/>
    </row>
    <row r="159" ht="15">
      <c r="A159" s="5" t="s">
        <v>86</v>
      </c>
      <c r="B159" s="5" t="s">
        <v>87</v>
      </c>
      <c r="C159" s="5" t="s">
        <v>89</v>
      </c>
      <c r="D159" s="6" t="s">
        <v>21</v>
      </c>
      <c r="E159" s="7" t="s">
        <v>21</v>
      </c>
      <c r="F159" s="6"/>
    </row>
    <row r="160" ht="15">
      <c r="A160" s="5" t="s">
        <v>86</v>
      </c>
      <c r="B160" s="5" t="s">
        <v>87</v>
      </c>
      <c r="C160" s="5" t="s">
        <v>30</v>
      </c>
      <c r="D160" s="6" t="s">
        <v>21</v>
      </c>
      <c r="E160" s="7" t="s">
        <v>21</v>
      </c>
      <c r="F160" s="6"/>
    </row>
    <row r="161" ht="15">
      <c r="A161" s="5" t="s">
        <v>86</v>
      </c>
      <c r="B161" s="5" t="s">
        <v>87</v>
      </c>
      <c r="C161" s="5" t="s">
        <v>90</v>
      </c>
      <c r="D161" s="6" t="s">
        <v>21</v>
      </c>
      <c r="E161" s="7" t="s">
        <v>21</v>
      </c>
      <c r="F161" s="6"/>
    </row>
    <row r="162" ht="15">
      <c r="A162" s="5" t="s">
        <v>91</v>
      </c>
      <c r="B162" s="5" t="s">
        <v>92</v>
      </c>
      <c r="C162" s="5" t="s">
        <v>88</v>
      </c>
      <c r="D162" s="6" t="s">
        <v>23</v>
      </c>
      <c r="E162" s="7" t="s">
        <v>21</v>
      </c>
      <c r="F162" s="6"/>
    </row>
    <row r="163" ht="15">
      <c r="A163" s="5" t="s">
        <v>91</v>
      </c>
      <c r="B163" s="5" t="s">
        <v>92</v>
      </c>
      <c r="C163" s="5" t="s">
        <v>20</v>
      </c>
      <c r="D163" s="6" t="s">
        <v>21</v>
      </c>
      <c r="E163" s="7" t="s">
        <v>21</v>
      </c>
      <c r="F163" s="6"/>
    </row>
    <row r="164" ht="15">
      <c r="A164" s="5" t="s">
        <v>91</v>
      </c>
      <c r="B164" s="5" t="s">
        <v>92</v>
      </c>
      <c r="C164" s="5" t="s">
        <v>93</v>
      </c>
      <c r="D164" s="6" t="s">
        <v>21</v>
      </c>
      <c r="E164" s="7" t="s">
        <v>21</v>
      </c>
      <c r="F164" s="6"/>
    </row>
    <row r="165" ht="15">
      <c r="A165" s="5" t="s">
        <v>91</v>
      </c>
      <c r="B165" s="5" t="s">
        <v>92</v>
      </c>
      <c r="C165" s="5" t="s">
        <v>22</v>
      </c>
      <c r="D165" s="6" t="s">
        <v>23</v>
      </c>
      <c r="E165" s="7" t="s">
        <v>23</v>
      </c>
      <c r="F165" s="6"/>
    </row>
    <row r="166" ht="15">
      <c r="A166" s="5" t="s">
        <v>91</v>
      </c>
      <c r="B166" s="5" t="s">
        <v>92</v>
      </c>
      <c r="C166" s="5" t="s">
        <v>94</v>
      </c>
      <c r="D166" s="6" t="s">
        <v>23</v>
      </c>
      <c r="E166" s="7" t="s">
        <v>21</v>
      </c>
      <c r="F166" s="6"/>
    </row>
    <row r="167" ht="15">
      <c r="A167" s="5" t="s">
        <v>91</v>
      </c>
      <c r="B167" s="5" t="s">
        <v>92</v>
      </c>
      <c r="C167" s="5" t="s">
        <v>95</v>
      </c>
      <c r="D167" s="6" t="s">
        <v>21</v>
      </c>
      <c r="E167" s="7" t="s">
        <v>21</v>
      </c>
      <c r="F167" s="6"/>
    </row>
    <row r="168" ht="15">
      <c r="A168" s="5" t="s">
        <v>91</v>
      </c>
      <c r="B168" s="5" t="s">
        <v>92</v>
      </c>
      <c r="C168" s="5" t="s">
        <v>96</v>
      </c>
      <c r="D168" s="6" t="s">
        <v>21</v>
      </c>
      <c r="E168" s="7" t="s">
        <v>21</v>
      </c>
      <c r="F168" s="6"/>
    </row>
    <row r="169" ht="15">
      <c r="A169" s="5" t="s">
        <v>91</v>
      </c>
      <c r="B169" s="5" t="s">
        <v>92</v>
      </c>
      <c r="C169" s="5" t="s">
        <v>29</v>
      </c>
      <c r="D169" s="6" t="s">
        <v>21</v>
      </c>
      <c r="E169" s="7" t="s">
        <v>21</v>
      </c>
      <c r="F169" s="6"/>
    </row>
    <row r="170" ht="15">
      <c r="A170" s="5" t="s">
        <v>91</v>
      </c>
      <c r="B170" s="5" t="s">
        <v>92</v>
      </c>
      <c r="C170" s="5" t="s">
        <v>89</v>
      </c>
      <c r="D170" s="6" t="s">
        <v>21</v>
      </c>
      <c r="E170" s="7" t="s">
        <v>21</v>
      </c>
      <c r="F170" s="6"/>
    </row>
    <row r="171" ht="15">
      <c r="A171" s="5" t="s">
        <v>91</v>
      </c>
      <c r="B171" s="5" t="s">
        <v>92</v>
      </c>
      <c r="C171" s="5" t="s">
        <v>30</v>
      </c>
      <c r="D171" s="6" t="s">
        <v>21</v>
      </c>
      <c r="E171" s="7" t="s">
        <v>21</v>
      </c>
      <c r="F171" s="6"/>
    </row>
    <row r="172" ht="15">
      <c r="A172" s="5" t="s">
        <v>91</v>
      </c>
      <c r="B172" s="5" t="s">
        <v>92</v>
      </c>
      <c r="C172" s="5" t="s">
        <v>90</v>
      </c>
      <c r="D172" s="6" t="s">
        <v>21</v>
      </c>
      <c r="E172" s="7" t="s">
        <v>21</v>
      </c>
      <c r="F172" s="6"/>
    </row>
  </sheetData>
  <autoFilter ref="A1:F172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 id="{8011F112-0DA7-43EF-ABF7-6042F4DBD701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D2:D212</xm:sqref>
        </x14:conditionalFormatting>
        <x14:conditionalFormatting xmlns:xm="http://schemas.microsoft.com/office/excel/2006/main">
          <x14:cfRule type="cellIs" priority="3" aboveAverage="0" operator="equal" rank="0" text="" id="{E0E11412-454F-48FD-9FA8-F009C0DC3E3A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D2:D212</xm:sqref>
        </x14:conditionalFormatting>
        <x14:conditionalFormatting xmlns:xm="http://schemas.microsoft.com/office/excel/2006/main">
          <x14:cfRule type="cellIs" priority="2" aboveAverage="0" operator="equal" rank="0" text="" id="{B7766D77-02A0-461D-A3FB-887D0D4437C0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ellIs" priority="3" aboveAverage="0" operator="equal" rank="0" text="" id="{ACDED082-61F3-46A2-BD56-DD7C45EAC908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ellIs" priority="2" aboveAverage="0" operator="equal" rank="0" text="" id="{78ABE8A7-236E-4547-BBA7-1C0E22B20672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D60</xm:sqref>
        </x14:conditionalFormatting>
        <x14:conditionalFormatting xmlns:xm="http://schemas.microsoft.com/office/excel/2006/main">
          <x14:cfRule type="cellIs" priority="3" aboveAverage="0" operator="equal" rank="0" text="" id="{77BC5B43-1E56-41F4-BB11-C54FA2D1CDC0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D60</xm:sqref>
        </x14:conditionalFormatting>
        <x14:conditionalFormatting xmlns:xm="http://schemas.microsoft.com/office/excel/2006/main">
          <x14:cfRule type="cellIs" priority="2" aboveAverage="0" operator="equal" rank="0" text="" id="{B03B1570-0631-4AD5-A400-2D2EFBE63FB6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D62</xm:sqref>
        </x14:conditionalFormatting>
        <x14:conditionalFormatting xmlns:xm="http://schemas.microsoft.com/office/excel/2006/main">
          <x14:cfRule type="cellIs" priority="3" aboveAverage="0" operator="equal" rank="0" text="" id="{0410AF38-03F0-4C8A-9E36-4A950F7052C3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D62</xm:sqref>
        </x14:conditionalFormatting>
        <x14:conditionalFormatting xmlns:xm="http://schemas.microsoft.com/office/excel/2006/main">
          <x14:cfRule type="cellIs" priority="2" aboveAverage="0" operator="equal" rank="0" text="" id="{65172487-303F-4597-A62C-7907580E4F1A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D64</xm:sqref>
        </x14:conditionalFormatting>
        <x14:conditionalFormatting xmlns:xm="http://schemas.microsoft.com/office/excel/2006/main">
          <x14:cfRule type="cellIs" priority="3" aboveAverage="0" operator="equal" rank="0" text="" id="{4AF8E198-4064-44E4-8CE9-2D2F6B693C5F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D64</xm:sqref>
        </x14:conditionalFormatting>
        <x14:conditionalFormatting xmlns:xm="http://schemas.microsoft.com/office/excel/2006/main">
          <x14:cfRule type="cellIs" priority="2" aboveAverage="0" operator="equal" rank="0" text="" id="{1FF32F3D-688B-4159-A025-630AB3FABD63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cellIs" priority="3" aboveAverage="0" operator="equal" rank="0" text="" id="{D06929BB-7F34-465E-BF51-0CB76E0414F2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cellIs" priority="2" aboveAverage="0" operator="equal" rank="0" text="" id="{859222DD-AE2A-4785-AF11-BE0174D6CE5F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D66</xm:sqref>
        </x14:conditionalFormatting>
        <x14:conditionalFormatting xmlns:xm="http://schemas.microsoft.com/office/excel/2006/main">
          <x14:cfRule type="cellIs" priority="3" aboveAverage="0" operator="equal" rank="0" text="" id="{058EA733-3A2A-4E2F-B0BD-232C484E445E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D66</xm:sqref>
        </x14:conditionalFormatting>
        <x14:conditionalFormatting xmlns:xm="http://schemas.microsoft.com/office/excel/2006/main">
          <x14:cfRule type="cellIs" priority="2" aboveAverage="0" operator="equal" rank="0" text="" id="{A0C1C4A6-F2C8-4FDC-ABD6-3C34C151BE99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ellIs" priority="3" aboveAverage="0" operator="equal" rank="0" text="" id="{AD8D8133-26E8-42DD-A06D-5ACA111E85D1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ellIs" priority="2" aboveAverage="0" operator="equal" rank="0" text="" id="{F3FCDCF7-DB47-4AC9-B9B9-E68662B5F9A2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ellIs" priority="3" aboveAverage="0" operator="equal" rank="0" text="" id="{CF9C7762-AB6B-48E0-918C-26E0187A44E9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ellIs" priority="2" aboveAverage="0" operator="equal" rank="0" text="" id="{FFA09E75-D0BF-4D87-BCEF-A9FF6C368E98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D72</xm:sqref>
        </x14:conditionalFormatting>
        <x14:conditionalFormatting xmlns:xm="http://schemas.microsoft.com/office/excel/2006/main">
          <x14:cfRule type="cellIs" priority="3" aboveAverage="0" operator="equal" rank="0" text="" id="{5F2D88B9-1E43-4A7D-9445-092C2B7F9BDA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D72</xm:sqref>
        </x14:conditionalFormatting>
        <x14:conditionalFormatting xmlns:xm="http://schemas.microsoft.com/office/excel/2006/main">
          <x14:cfRule type="cellIs" priority="2" aboveAverage="0" operator="equal" rank="0" text="" id="{2ADCC1F2-8E23-488C-A56C-20EB7E83030B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ellIs" priority="3" aboveAverage="0" operator="equal" rank="0" text="" id="{3382C4F8-095F-4FC1-A053-17B2CF871C56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ellIs" priority="2" aboveAverage="0" operator="equal" rank="0" text="" id="{C099AF24-604D-46E2-9059-92B24C0F8271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D137</xm:sqref>
        </x14:conditionalFormatting>
        <x14:conditionalFormatting xmlns:xm="http://schemas.microsoft.com/office/excel/2006/main">
          <x14:cfRule type="cellIs" priority="3" aboveAverage="0" operator="equal" rank="0" text="" id="{2D595D14-5DB9-4685-8F6D-8B0E6C25A79C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D137</xm:sqref>
        </x14:conditionalFormatting>
        <x14:conditionalFormatting xmlns:xm="http://schemas.microsoft.com/office/excel/2006/main">
          <x14:cfRule type="cellIs" priority="2" aboveAverage="0" operator="equal" rank="0" text="" id="{6C4A598E-18CC-472D-B5BA-DEFBC970CCA4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D142</xm:sqref>
        </x14:conditionalFormatting>
        <x14:conditionalFormatting xmlns:xm="http://schemas.microsoft.com/office/excel/2006/main">
          <x14:cfRule type="cellIs" priority="3" aboveAverage="0" operator="equal" rank="0" text="" id="{41243AD4-472A-4818-A0BA-3E6F1EA53FDC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D142</xm:sqref>
        </x14:conditionalFormatting>
        <x14:conditionalFormatting xmlns:xm="http://schemas.microsoft.com/office/excel/2006/main">
          <x14:cfRule type="cellIs" priority="2" aboveAverage="0" operator="equal" rank="0" text="" id="{B0F724B4-2A90-4E35-9699-F7A2560925FD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D141</xm:sqref>
        </x14:conditionalFormatting>
        <x14:conditionalFormatting xmlns:xm="http://schemas.microsoft.com/office/excel/2006/main">
          <x14:cfRule type="cellIs" priority="3" aboveAverage="0" operator="equal" rank="0" text="" id="{401D0FF9-E645-4441-B85D-D1DE0EF006C7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D141</xm:sqref>
        </x14:conditionalFormatting>
        <x14:conditionalFormatting xmlns:xm="http://schemas.microsoft.com/office/excel/2006/main">
          <x14:cfRule type="cellIs" priority="2" aboveAverage="0" operator="equal" rank="0" text="" id="{D854DB82-A17B-41FC-A102-4C0537B66B6D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D143</xm:sqref>
        </x14:conditionalFormatting>
        <x14:conditionalFormatting xmlns:xm="http://schemas.microsoft.com/office/excel/2006/main">
          <x14:cfRule type="cellIs" priority="3" aboveAverage="0" operator="equal" rank="0" text="" id="{3EEC4D60-3603-472C-AAFA-03A19C3608C8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D143</xm:sqref>
        </x14:conditionalFormatting>
        <x14:conditionalFormatting xmlns:xm="http://schemas.microsoft.com/office/excel/2006/main">
          <x14:cfRule type="cellIs" priority="2" aboveAverage="0" operator="equal" rank="0" text="" id="{FEABE2F1-B3C2-47B8-87D1-9162DD36075D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D144</xm:sqref>
        </x14:conditionalFormatting>
        <x14:conditionalFormatting xmlns:xm="http://schemas.microsoft.com/office/excel/2006/main">
          <x14:cfRule type="cellIs" priority="3" aboveAverage="0" operator="equal" rank="0" text="" id="{2373D3E1-FD7D-454C-B795-BB35561D64A1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D144</xm:sqref>
        </x14:conditionalFormatting>
        <x14:conditionalFormatting xmlns:xm="http://schemas.microsoft.com/office/excel/2006/main">
          <x14:cfRule type="cellIs" priority="2" aboveAverage="0" operator="equal" rank="0" text="" id="{17B6FACE-C8C1-44A3-8731-189C30940880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D145</xm:sqref>
        </x14:conditionalFormatting>
        <x14:conditionalFormatting xmlns:xm="http://schemas.microsoft.com/office/excel/2006/main">
          <x14:cfRule type="cellIs" priority="3" aboveAverage="0" operator="equal" rank="0" text="" id="{CB6CCD5C-22C7-4B28-9398-E1EA0AE7F596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D145</xm:sqref>
        </x14:conditionalFormatting>
        <x14:conditionalFormatting xmlns:xm="http://schemas.microsoft.com/office/excel/2006/main">
          <x14:cfRule type="cellIs" priority="2" aboveAverage="0" operator="equal" rank="0" text="" id="{5AED7DC4-09F3-4215-8EEB-3257FFA0D8EC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D146</xm:sqref>
        </x14:conditionalFormatting>
        <x14:conditionalFormatting xmlns:xm="http://schemas.microsoft.com/office/excel/2006/main">
          <x14:cfRule type="cellIs" priority="3" aboveAverage="0" operator="equal" rank="0" text="" id="{2DD69293-E761-4FC1-AE31-BF1B6F8C29DC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D146</xm:sqref>
        </x14:conditionalFormatting>
        <x14:conditionalFormatting xmlns:xm="http://schemas.microsoft.com/office/excel/2006/main">
          <x14:cfRule type="cellIs" priority="2" aboveAverage="0" operator="equal" rank="0" text="" id="{9FF12598-F95B-484D-85A5-0735587A5D84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D147</xm:sqref>
        </x14:conditionalFormatting>
        <x14:conditionalFormatting xmlns:xm="http://schemas.microsoft.com/office/excel/2006/main">
          <x14:cfRule type="cellIs" priority="3" aboveAverage="0" operator="equal" rank="0" text="" id="{CF69CC02-B56C-4370-A22C-2BFBC7B02031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D147</xm:sqref>
        </x14:conditionalFormatting>
        <x14:conditionalFormatting xmlns:xm="http://schemas.microsoft.com/office/excel/2006/main">
          <x14:cfRule type="cellIs" priority="2" aboveAverage="0" operator="equal" rank="0" text="" id="{92FB04F2-2FB5-41AC-83D5-18A066F41745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D147</xm:sqref>
        </x14:conditionalFormatting>
        <x14:conditionalFormatting xmlns:xm="http://schemas.microsoft.com/office/excel/2006/main">
          <x14:cfRule type="cellIs" priority="3" aboveAverage="0" operator="equal" rank="0" text="" id="{17F892C1-C66D-4E7B-A436-D680F6104C41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D147</xm:sqref>
        </x14:conditionalFormatting>
        <x14:conditionalFormatting xmlns:xm="http://schemas.microsoft.com/office/excel/2006/main">
          <x14:cfRule type="cellIs" priority="2" aboveAverage="0" operator="equal" rank="0" text="" id="{F736A617-7B7F-414A-A02C-47B36FAB99FA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D148</xm:sqref>
        </x14:conditionalFormatting>
        <x14:conditionalFormatting xmlns:xm="http://schemas.microsoft.com/office/excel/2006/main">
          <x14:cfRule type="cellIs" priority="3" aboveAverage="0" operator="equal" rank="0" text="" id="{9F3F94E6-8239-4234-847B-674A2B0E514C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D148</xm:sqref>
        </x14:conditionalFormatting>
        <x14:conditionalFormatting xmlns:xm="http://schemas.microsoft.com/office/excel/2006/main">
          <x14:cfRule type="cellIs" priority="2" aboveAverage="0" operator="equal" rank="0" text="" id="{7DBE5C76-2585-4E4D-9430-4314D035D891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D148</xm:sqref>
        </x14:conditionalFormatting>
        <x14:conditionalFormatting xmlns:xm="http://schemas.microsoft.com/office/excel/2006/main">
          <x14:cfRule type="cellIs" priority="3" aboveAverage="0" operator="equal" rank="0" text="" id="{D86EF272-9E1A-4843-A7C1-A34DCDC94FE9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D148</xm:sqref>
        </x14:conditionalFormatting>
        <x14:conditionalFormatting xmlns:xm="http://schemas.microsoft.com/office/excel/2006/main">
          <x14:cfRule type="cellIs" priority="2" aboveAverage="0" operator="equal" rank="0" text="" id="{9CD8B388-6E99-47A6-95E8-D61822D0A98E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D149</xm:sqref>
        </x14:conditionalFormatting>
        <x14:conditionalFormatting xmlns:xm="http://schemas.microsoft.com/office/excel/2006/main">
          <x14:cfRule type="cellIs" priority="3" aboveAverage="0" operator="equal" rank="0" text="" id="{263920D0-C131-48A7-AA0F-175E9772239D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D149</xm:sqref>
        </x14:conditionalFormatting>
        <x14:conditionalFormatting xmlns:xm="http://schemas.microsoft.com/office/excel/2006/main">
          <x14:cfRule type="cellIs" priority="2" aboveAverage="0" operator="equal" rank="0" text="" id="{59F3EA43-CEF9-4D95-9F7F-07843C952C5D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D149</xm:sqref>
        </x14:conditionalFormatting>
        <x14:conditionalFormatting xmlns:xm="http://schemas.microsoft.com/office/excel/2006/main">
          <x14:cfRule type="cellIs" priority="3" aboveAverage="0" operator="equal" rank="0" text="" id="{2CA9ED24-6D2D-4EFA-9291-74E10A4FC84F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D149</xm:sqref>
        </x14:conditionalFormatting>
        <x14:conditionalFormatting xmlns:xm="http://schemas.microsoft.com/office/excel/2006/main">
          <x14:cfRule type="cellIs" priority="2" aboveAverage="0" operator="equal" rank="0" text="" id="{E669FF61-AB68-4A28-B7FC-2F313213A21F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D150</xm:sqref>
        </x14:conditionalFormatting>
        <x14:conditionalFormatting xmlns:xm="http://schemas.microsoft.com/office/excel/2006/main">
          <x14:cfRule type="cellIs" priority="3" aboveAverage="0" operator="equal" rank="0" text="" id="{51C16D6E-31F7-40AD-A292-D327906E901E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D150</xm:sqref>
        </x14:conditionalFormatting>
        <x14:conditionalFormatting xmlns:xm="http://schemas.microsoft.com/office/excel/2006/main">
          <x14:cfRule type="cellIs" priority="2" aboveAverage="0" operator="equal" rank="0" text="" id="{A563D817-D73E-41FA-8D13-3AA9653632F5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D150</xm:sqref>
        </x14:conditionalFormatting>
        <x14:conditionalFormatting xmlns:xm="http://schemas.microsoft.com/office/excel/2006/main">
          <x14:cfRule type="cellIs" priority="3" aboveAverage="0" operator="equal" rank="0" text="" id="{F0C9BF8B-62BF-407D-A475-C7F25338B1CB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D150</xm:sqref>
        </x14:conditionalFormatting>
        <x14:conditionalFormatting xmlns:xm="http://schemas.microsoft.com/office/excel/2006/main">
          <x14:cfRule type="cellIs" priority="2" aboveAverage="0" operator="equal" rank="0" text="" id="{E6568C86-384F-4E0C-AC89-93298A0625BB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D157</xm:sqref>
        </x14:conditionalFormatting>
        <x14:conditionalFormatting xmlns:xm="http://schemas.microsoft.com/office/excel/2006/main">
          <x14:cfRule type="cellIs" priority="3" aboveAverage="0" operator="equal" rank="0" text="" id="{B04DEA60-0CE4-4F31-9CE8-7A704E03079E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D157</xm:sqref>
        </x14:conditionalFormatting>
        <x14:conditionalFormatting xmlns:xm="http://schemas.microsoft.com/office/excel/2006/main">
          <x14:cfRule type="cellIs" priority="2" aboveAverage="0" operator="equal" rank="0" text="" id="{F5F75F4F-CB4B-40FF-A458-0D5FA20F205F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D157</xm:sqref>
        </x14:conditionalFormatting>
        <x14:conditionalFormatting xmlns:xm="http://schemas.microsoft.com/office/excel/2006/main">
          <x14:cfRule type="cellIs" priority="3" aboveAverage="0" operator="equal" rank="0" text="" id="{89AED736-A6D8-4B8D-819D-7A9BC60BC99B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D157</xm:sqref>
        </x14:conditionalFormatting>
        <x14:conditionalFormatting xmlns:xm="http://schemas.microsoft.com/office/excel/2006/main">
          <x14:cfRule type="cellIs" priority="2" aboveAverage="0" operator="equal" rank="0" text="" id="{E07E04FA-4719-4356-9613-925CA8FBA50C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D155</xm:sqref>
        </x14:conditionalFormatting>
        <x14:conditionalFormatting xmlns:xm="http://schemas.microsoft.com/office/excel/2006/main">
          <x14:cfRule type="cellIs" priority="3" aboveAverage="0" operator="equal" rank="0" text="" id="{C4D0796F-5B65-4FF0-810E-43FE2DF19A95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D155</xm:sqref>
        </x14:conditionalFormatting>
        <x14:conditionalFormatting xmlns:xm="http://schemas.microsoft.com/office/excel/2006/main">
          <x14:cfRule type="cellIs" priority="2" aboveAverage="0" operator="equal" rank="0" text="" id="{0FF3ACF9-67D2-4B73-B00D-404B978E40A6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D155</xm:sqref>
        </x14:conditionalFormatting>
        <x14:conditionalFormatting xmlns:xm="http://schemas.microsoft.com/office/excel/2006/main">
          <x14:cfRule type="cellIs" priority="3" aboveAverage="0" operator="equal" rank="0" text="" id="{0D82C5A5-CFF2-459E-BAE3-C292D9E7E583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D155</xm:sqref>
        </x14:conditionalFormatting>
        <x14:conditionalFormatting xmlns:xm="http://schemas.microsoft.com/office/excel/2006/main">
          <x14:cfRule type="cellIs" priority="2" aboveAverage="0" operator="equal" rank="0" text="" id="{D8D75359-E20B-44D2-A214-B9AE04D48356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D156</xm:sqref>
        </x14:conditionalFormatting>
        <x14:conditionalFormatting xmlns:xm="http://schemas.microsoft.com/office/excel/2006/main">
          <x14:cfRule type="cellIs" priority="3" aboveAverage="0" operator="equal" rank="0" text="" id="{555FFCD4-751E-4B00-8C54-1BF67BCA7F7F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D156</xm:sqref>
        </x14:conditionalFormatting>
        <x14:conditionalFormatting xmlns:xm="http://schemas.microsoft.com/office/excel/2006/main">
          <x14:cfRule type="cellIs" priority="2" aboveAverage="0" operator="equal" rank="0" text="" id="{C0A4999E-DB19-4877-9D1A-6449BB4C5367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D158</xm:sqref>
        </x14:conditionalFormatting>
        <x14:conditionalFormatting xmlns:xm="http://schemas.microsoft.com/office/excel/2006/main">
          <x14:cfRule type="cellIs" priority="3" aboveAverage="0" operator="equal" rank="0" text="" id="{0459BB87-F348-444F-800C-E34F285EA044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D158</xm:sqref>
        </x14:conditionalFormatting>
        <x14:conditionalFormatting xmlns:xm="http://schemas.microsoft.com/office/excel/2006/main">
          <x14:cfRule type="cellIs" priority="2" aboveAverage="0" operator="equal" rank="0" text="" id="{EB5E78C4-45F4-480C-AC9F-821073500A3C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D165</xm:sqref>
        </x14:conditionalFormatting>
        <x14:conditionalFormatting xmlns:xm="http://schemas.microsoft.com/office/excel/2006/main">
          <x14:cfRule type="cellIs" priority="3" aboveAverage="0" operator="equal" rank="0" text="" id="{C5178297-4543-4937-99BC-4039BE8AF97C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D165</xm:sqref>
        </x14:conditionalFormatting>
        <x14:conditionalFormatting xmlns:xm="http://schemas.microsoft.com/office/excel/2006/main">
          <x14:cfRule type="cellIs" priority="2" aboveAverage="0" operator="equal" rank="0" text="" id="{696041B6-7C8D-403F-B684-19396D8E8935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D165</xm:sqref>
        </x14:conditionalFormatting>
        <x14:conditionalFormatting xmlns:xm="http://schemas.microsoft.com/office/excel/2006/main">
          <x14:cfRule type="cellIs" priority="3" aboveAverage="0" operator="equal" rank="0" text="" id="{07CE1542-ECD1-4A0B-892A-7C2BAAABD8AD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D165</xm:sqref>
        </x14:conditionalFormatting>
        <x14:conditionalFormatting xmlns:xm="http://schemas.microsoft.com/office/excel/2006/main">
          <x14:cfRule type="cellIs" priority="2" aboveAverage="0" operator="equal" rank="0" text="" id="{89283CB7-958D-41CE-B474-A93E3ED30BA0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D165</xm:sqref>
        </x14:conditionalFormatting>
        <x14:conditionalFormatting xmlns:xm="http://schemas.microsoft.com/office/excel/2006/main">
          <x14:cfRule type="cellIs" priority="3" aboveAverage="0" operator="equal" rank="0" text="" id="{34ED05C8-8ADB-40A8-B864-6AB28C016485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D165</xm:sqref>
        </x14:conditionalFormatting>
        <x14:conditionalFormatting xmlns:xm="http://schemas.microsoft.com/office/excel/2006/main">
          <x14:cfRule type="cellIs" priority="2" aboveAverage="0" operator="equal" rank="0" text="" id="{709D38F5-3F61-4460-A1B3-0B395DCBB830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D166</xm:sqref>
        </x14:conditionalFormatting>
        <x14:conditionalFormatting xmlns:xm="http://schemas.microsoft.com/office/excel/2006/main">
          <x14:cfRule type="cellIs" priority="3" aboveAverage="0" operator="equal" rank="0" text="" id="{72F35BA9-3EFD-4150-8298-DD0D19E329B0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D166</xm:sqref>
        </x14:conditionalFormatting>
        <x14:conditionalFormatting xmlns:xm="http://schemas.microsoft.com/office/excel/2006/main">
          <x14:cfRule type="cellIs" priority="2" aboveAverage="0" operator="equal" rank="0" text="" id="{DB5FDCDF-F338-40C6-BD0B-4274045AAC8B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D166</xm:sqref>
        </x14:conditionalFormatting>
        <x14:conditionalFormatting xmlns:xm="http://schemas.microsoft.com/office/excel/2006/main">
          <x14:cfRule type="cellIs" priority="3" aboveAverage="0" operator="equal" rank="0" text="" id="{E5F58CEC-183A-47F4-AAD4-4DF6D5A3F632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D166</xm:sqref>
        </x14:conditionalFormatting>
        <x14:conditionalFormatting xmlns:xm="http://schemas.microsoft.com/office/excel/2006/main">
          <x14:cfRule type="cellIs" priority="2" aboveAverage="0" operator="equal" rank="0" text="" id="{E4D111C4-DBD4-4602-A0C2-3F758A37C420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D166</xm:sqref>
        </x14:conditionalFormatting>
        <x14:conditionalFormatting xmlns:xm="http://schemas.microsoft.com/office/excel/2006/main">
          <x14:cfRule type="cellIs" priority="3" aboveAverage="0" operator="equal" rank="0" text="" id="{672EBF98-2D05-461F-B492-AB9F3B6FA0E4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D166</xm:sqref>
        </x14:conditionalFormatting>
        <x14:conditionalFormatting xmlns:xm="http://schemas.microsoft.com/office/excel/2006/main">
          <x14:cfRule type="cellIs" priority="2" aboveAverage="0" operator="equal" rank="0" text="" id="{C7AFB8E6-C7B2-414A-8AF6-3169C77B6C97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D167</xm:sqref>
        </x14:conditionalFormatting>
        <x14:conditionalFormatting xmlns:xm="http://schemas.microsoft.com/office/excel/2006/main">
          <x14:cfRule type="cellIs" priority="3" aboveAverage="0" operator="equal" rank="0" text="" id="{46B6DB4B-0B7D-47B0-8423-4ABB339702FB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D167</xm:sqref>
        </x14:conditionalFormatting>
        <x14:conditionalFormatting xmlns:xm="http://schemas.microsoft.com/office/excel/2006/main">
          <x14:cfRule type="cellIs" priority="2" aboveAverage="0" operator="equal" rank="0" text="" id="{C6A02D94-DE01-4CAB-9C0E-9C05B1CBEDA6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D168</xm:sqref>
        </x14:conditionalFormatting>
        <x14:conditionalFormatting xmlns:xm="http://schemas.microsoft.com/office/excel/2006/main">
          <x14:cfRule type="cellIs" priority="3" aboveAverage="0" operator="equal" rank="0" text="" id="{E1E9E72B-26A7-472A-83CF-4A34A39CA700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D168</xm:sqref>
        </x14:conditionalFormatting>
        <x14:conditionalFormatting xmlns:xm="http://schemas.microsoft.com/office/excel/2006/main">
          <x14:cfRule type="cellIs" priority="2" aboveAverage="0" operator="equal" rank="0" text="" id="{DEBC29D8-8640-480A-83F2-82F908F3402B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D164</xm:sqref>
        </x14:conditionalFormatting>
        <x14:conditionalFormatting xmlns:xm="http://schemas.microsoft.com/office/excel/2006/main">
          <x14:cfRule type="cellIs" priority="3" aboveAverage="0" operator="equal" rank="0" text="" id="{F0172E49-8020-43B8-91E5-32EF07F4A9E8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D164</xm:sqref>
        </x14:conditionalFormatting>
        <x14:conditionalFormatting xmlns:xm="http://schemas.microsoft.com/office/excel/2006/main">
          <x14:cfRule type="cellIs" priority="2" aboveAverage="0" operator="equal" rank="0" text="" id="{7BE64816-6A5C-4B45-A642-7E31394C46CD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D164</xm:sqref>
        </x14:conditionalFormatting>
        <x14:conditionalFormatting xmlns:xm="http://schemas.microsoft.com/office/excel/2006/main">
          <x14:cfRule type="cellIs" priority="3" aboveAverage="0" operator="equal" rank="0" text="" id="{7360597C-A0E3-442B-A1BD-D4B6AF7F4138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D164</xm:sqref>
        </x14:conditionalFormatting>
        <x14:conditionalFormatting xmlns:xm="http://schemas.microsoft.com/office/excel/2006/main">
          <x14:cfRule type="cellIs" priority="2" aboveAverage="0" operator="equal" rank="0" text="" id="{6CC02D3E-27FB-4F9F-A84C-B39DD9D96ED3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3" aboveAverage="0" operator="equal" rank="0" text="" id="{D2EDCA6C-1E62-4116-9D33-DF32B52102C6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2" aboveAverage="0" operator="equal" rank="0" text="" id="{798002F2-068E-4629-BADC-806614D49687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3" aboveAverage="0" operator="equal" rank="0" text="" id="{6B03F50D-3CED-4EA5-9DCD-BAB0C6EBF534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2" aboveAverage="0" operator="equal" rank="0" text="" id="{A8A40205-E8D8-49C1-8137-48C5E74290AB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3" aboveAverage="0" operator="equal" rank="0" text="" id="{3B645F5A-8A03-4CD6-AF4D-990E2A31BF26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2" aboveAverage="0" operator="equal" rank="0" text="" id="{CD0721B5-7041-4D90-965F-A420B6930A45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3" aboveAverage="0" operator="equal" rank="0" text="" id="{9459D4F2-594F-4D4B-8B4A-B0EC68EC2D10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D162</xm:sqref>
        </x14:conditionalFormatting>
        <x14:conditionalFormatting xmlns:xm="http://schemas.microsoft.com/office/excel/2006/main">
          <x14:cfRule type="cellIs" priority="2" aboveAverage="0" operator="equal" rank="0" text="" id="{68C5E141-2810-417F-B1B4-288260531E00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D169</xm:sqref>
        </x14:conditionalFormatting>
        <x14:conditionalFormatting xmlns:xm="http://schemas.microsoft.com/office/excel/2006/main">
          <x14:cfRule type="cellIs" priority="3" aboveAverage="0" operator="equal" rank="0" text="" id="{C078FB73-F6A8-4A27-A6F6-2557C001D7EF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D169</xm:sqref>
        </x14:conditionalFormatting>
        <x14:conditionalFormatting xmlns:xm="http://schemas.microsoft.com/office/excel/2006/main">
          <x14:cfRule type="cellIs" priority="2" aboveAverage="0" operator="equal" rank="0" text="" id="{E63E8E37-4B1E-4761-91F9-0F8348100F3B}">
            <xm:f>"No"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D169</xm:sqref>
        </x14:conditionalFormatting>
        <x14:conditionalFormatting xmlns:xm="http://schemas.microsoft.com/office/excel/2006/main">
          <x14:cfRule type="cellIs" priority="3" aboveAverage="0" operator="equal" rank="0" text="" id="{F597598B-F09E-4BE1-8672-AA4E97B90BE0}">
            <xm:f>"Sí"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D169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8" disablePrompts="0">
        <x14:dataValidation xr:uid="{3C594ED4-12F0-4C25-93CD-D7491F254411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D2:D23 D27:D55 D63 D81:D136 D138:D140 D173:D212 D24 D25 D26</xm:sqref>
        </x14:dataValidation>
        <x14:dataValidation xr:uid="{B9C88458-0DB2-457B-A87D-E1D6C6D6CB16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D56</xm:sqref>
        </x14:dataValidation>
        <x14:dataValidation xr:uid="{A983D4A6-3898-49D7-9410-A266054931B7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D57</xm:sqref>
        </x14:dataValidation>
        <x14:dataValidation xr:uid="{269E1362-5111-49CF-A6CC-B2E9DBBC5B30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D58</xm:sqref>
        </x14:dataValidation>
        <x14:dataValidation xr:uid="{C9984E7E-FEBE-4CF5-A30F-3D3D2B9EF5BD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D59</xm:sqref>
        </x14:dataValidation>
        <x14:dataValidation xr:uid="{3BE02BFE-0726-41C5-A51C-67758FB6BF20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D60</xm:sqref>
        </x14:dataValidation>
        <x14:dataValidation xr:uid="{07404645-77A9-4589-99EF-B9D84FB11F21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D61</xm:sqref>
        </x14:dataValidation>
        <x14:dataValidation xr:uid="{4956FFA9-1F8F-4DA6-98EE-280FBBBB921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D62</xm:sqref>
        </x14:dataValidation>
        <x14:dataValidation xr:uid="{A57304F7-B8E0-479F-BF78-357B5A3F961B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D64</xm:sqref>
        </x14:dataValidation>
        <x14:dataValidation xr:uid="{885AABBA-781E-4A63-BF70-290A2C6B6C95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D65</xm:sqref>
        </x14:dataValidation>
        <x14:dataValidation xr:uid="{09FD4374-9387-4DBB-9590-613548E572D7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D66</xm:sqref>
        </x14:dataValidation>
        <x14:dataValidation xr:uid="{9948F61C-59CE-4B9A-A0B9-27C88B6F8688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D67</xm:sqref>
        </x14:dataValidation>
        <x14:dataValidation xr:uid="{5759EF3A-68C5-423B-895B-D76D46C48A37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D68</xm:sqref>
        </x14:dataValidation>
        <x14:dataValidation xr:uid="{D63F2E22-7461-463C-9E5C-C54484C2FB78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D69</xm:sqref>
        </x14:dataValidation>
        <x14:dataValidation xr:uid="{6F3CB563-91CE-48FC-9E69-D344D8D15CEF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D70</xm:sqref>
        </x14:dataValidation>
        <x14:dataValidation xr:uid="{80332D10-AD6C-403F-801B-DEDC0F2A819E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D71</xm:sqref>
        </x14:dataValidation>
        <x14:dataValidation xr:uid="{628E1A96-7C1F-4247-857D-92FCDEC81F2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D73</xm:sqref>
        </x14:dataValidation>
        <x14:dataValidation xr:uid="{ACD3308E-6F11-4820-AF7A-5DF73603AE03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D74</xm:sqref>
        </x14:dataValidation>
        <x14:dataValidation xr:uid="{EC14C57A-E44A-4F5B-BA0A-5EF56EDC3B44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D72</xm:sqref>
        </x14:dataValidation>
        <x14:dataValidation xr:uid="{F7A637BA-7DD0-4081-8047-CAC0CA4F93EF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D75</xm:sqref>
        </x14:dataValidation>
        <x14:dataValidation xr:uid="{B8EC9AA1-C0A1-430B-8615-76B0139ED287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D76</xm:sqref>
        </x14:dataValidation>
        <x14:dataValidation xr:uid="{90405507-827F-43DA-A399-4D2B8AB1668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D77</xm:sqref>
        </x14:dataValidation>
        <x14:dataValidation xr:uid="{E56A9633-55EF-4187-9B69-9D23C0DC7126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D78</xm:sqref>
        </x14:dataValidation>
        <x14:dataValidation xr:uid="{DA319533-E809-450C-B9AD-F3E7CBFEB5AA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D79</xm:sqref>
        </x14:dataValidation>
        <x14:dataValidation xr:uid="{AA3D146E-F66E-4901-9779-2947C66A69AE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D80</xm:sqref>
        </x14:dataValidation>
        <x14:dataValidation xr:uid="{734143E1-A688-4138-A5F5-5EDA1ACDB1F9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D137</xm:sqref>
        </x14:dataValidation>
        <x14:dataValidation xr:uid="{E8437576-6C46-4E94-A2DD-14511F523560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D142</xm:sqref>
        </x14:dataValidation>
        <x14:dataValidation xr:uid="{9164DA23-DD7E-4AF1-901B-858059E9D136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D141</xm:sqref>
        </x14:dataValidation>
        <x14:dataValidation xr:uid="{7F20880E-C49A-4DA8-8BCA-9C11199011B4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D143</xm:sqref>
        </x14:dataValidation>
        <x14:dataValidation xr:uid="{84605051-654A-4D14-911D-36629DB4B398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D144</xm:sqref>
        </x14:dataValidation>
        <x14:dataValidation xr:uid="{969B365A-9C6F-405D-B243-B966025B418A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D145</xm:sqref>
        </x14:dataValidation>
        <x14:dataValidation xr:uid="{3C8CC6C8-AC2F-418E-AC8C-2908E39C1AD4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D146</xm:sqref>
        </x14:dataValidation>
        <x14:dataValidation xr:uid="{F1C44502-18EA-4D83-A7B8-FC7680F809E8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D147</xm:sqref>
        </x14:dataValidation>
        <x14:dataValidation xr:uid="{536E521F-7B05-4C81-87F1-9C7CFE18D349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D148</xm:sqref>
        </x14:dataValidation>
        <x14:dataValidation xr:uid="{9C7C9114-3494-4057-AA36-176E42D67C84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D149</xm:sqref>
        </x14:dataValidation>
        <x14:dataValidation xr:uid="{E1CE5CD2-97CE-4632-A8FF-D2E7548FCCB4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D150</xm:sqref>
        </x14:dataValidation>
        <x14:dataValidation xr:uid="{2D014006-5624-4B2C-925C-BF791550CDA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D151</xm:sqref>
        </x14:dataValidation>
        <x14:dataValidation xr:uid="{46F9FE3C-E34C-4B42-9EFD-15D175B068E8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D152</xm:sqref>
        </x14:dataValidation>
        <x14:dataValidation xr:uid="{895A220A-1BE2-45AD-9717-5BAA52DC4DD3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D153</xm:sqref>
        </x14:dataValidation>
        <x14:dataValidation xr:uid="{DD0D473D-2F20-4255-899A-437691A1CAF3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D154</xm:sqref>
        </x14:dataValidation>
        <x14:dataValidation xr:uid="{ACF8882B-457E-4BA1-A442-DCE883C71376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D157</xm:sqref>
        </x14:dataValidation>
        <x14:dataValidation xr:uid="{01923CB7-78C9-4FF7-9965-E5A2CF9DED31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D155</xm:sqref>
        </x14:dataValidation>
        <x14:dataValidation xr:uid="{CDD35C13-BAB1-471B-A253-C1C5743AFC96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D156</xm:sqref>
        </x14:dataValidation>
        <x14:dataValidation xr:uid="{356DB0CF-DA3B-433A-A6D8-AA336354FF8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D158</xm:sqref>
        </x14:dataValidation>
        <x14:dataValidation xr:uid="{5E5D1147-936E-4300-94ED-885FB81D0C5A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D159</xm:sqref>
        </x14:dataValidation>
        <x14:dataValidation xr:uid="{E1A96D6F-BB84-42FA-9E7C-6181744AE65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D160</xm:sqref>
        </x14:dataValidation>
        <x14:dataValidation xr:uid="{3940F96A-89DC-4320-9821-EFB7AB46D247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D161</xm:sqref>
        </x14:dataValidation>
        <x14:dataValidation xr:uid="{A80DF23A-34D7-418A-94EE-233702E61F02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D165</xm:sqref>
        </x14:dataValidation>
        <x14:dataValidation xr:uid="{F70504C2-DCB1-43FE-9EDF-365FB145400A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D166</xm:sqref>
        </x14:dataValidation>
        <x14:dataValidation xr:uid="{9DBAF30C-B858-461E-B974-54A3603ED2F0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D163</xm:sqref>
        </x14:dataValidation>
        <x14:dataValidation xr:uid="{A4DD75E3-E81A-4CED-90ED-2E8D87AB631B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D167</xm:sqref>
        </x14:dataValidation>
        <x14:dataValidation xr:uid="{FCF5FD0B-0473-482B-A27F-E58FF3A07F7D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D168</xm:sqref>
        </x14:dataValidation>
        <x14:dataValidation xr:uid="{E2B3E3D5-FB52-4F3B-A0EB-D5B5E55E00F0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D164</xm:sqref>
        </x14:dataValidation>
        <x14:dataValidation xr:uid="{3CAF7F13-BB36-431F-B2E5-C20957CE030B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D162</xm:sqref>
        </x14:dataValidation>
        <x14:dataValidation xr:uid="{27563FBA-93BB-4964-B2DC-D0EC7BA8ECE5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D169</xm:sqref>
        </x14:dataValidation>
        <x14:dataValidation xr:uid="{766BE03B-411A-44BA-8061-B1294ABC5B78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D170</xm:sqref>
        </x14:dataValidation>
        <x14:dataValidation xr:uid="{E5FCBFE3-D433-49C5-AFE6-A00CB2AFAF05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D171</xm:sqref>
        </x14:dataValidation>
        <x14:dataValidation xr:uid="{1B1AF457-31BB-47AC-9FA1-2A37EEED8B60}" type="list" allowBlank="1" errorStyle="stop" imeMode="noControl" operator="between" showDropDown="0" showErrorMessage="0" showInputMessage="0">
          <x14:formula1>
            <xm:f>"Sí,No,No aplica,Nuevo"</xm:f>
          </x14:formula1>
          <x14:formula2>
            <xm:f>0</xm:f>
          </x14:formula2>
          <xm:sqref>D172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2" ySplit="1" topLeftCell="C2" activePane="bottomRight" state="frozen"/>
      <selection activeCell="A1" activeCellId="0" sqref="A1"/>
    </sheetView>
  </sheetViews>
  <sheetFormatPr defaultColWidth="8.6796875" defaultRowHeight="14.25"/>
  <cols>
    <col customWidth="1" min="1" max="1" style="0" width="8"/>
    <col customWidth="1" min="2" max="2" style="0" width="48"/>
    <col customWidth="1" min="3" max="3" style="0" width="18"/>
    <col customWidth="1" min="4" max="4" style="0" width="20"/>
    <col customWidth="1" min="5" max="5" style="0" width="22"/>
    <col customWidth="1" min="6" max="6" style="0" width="30"/>
    <col customWidth="1" min="7" max="7" style="0" width="40"/>
  </cols>
  <sheetData>
    <row r="1" ht="28.5">
      <c r="A1" s="8" t="s">
        <v>12</v>
      </c>
      <c r="B1" s="8" t="s">
        <v>13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17</v>
      </c>
    </row>
    <row r="2" ht="15">
      <c r="A2" s="5" t="s">
        <v>18</v>
      </c>
      <c r="B2" s="5" t="s">
        <v>19</v>
      </c>
      <c r="C2" s="6" t="s">
        <v>21</v>
      </c>
      <c r="D2" s="6" t="s">
        <v>21</v>
      </c>
      <c r="E2" s="6" t="s">
        <v>21</v>
      </c>
      <c r="F2" s="6"/>
      <c r="G2" s="6"/>
    </row>
    <row r="3" ht="15">
      <c r="A3" s="5" t="s">
        <v>31</v>
      </c>
      <c r="B3" s="5" t="s">
        <v>32</v>
      </c>
      <c r="C3" s="6" t="s">
        <v>21</v>
      </c>
      <c r="D3" s="6" t="s">
        <v>21</v>
      </c>
      <c r="E3" s="6" t="s">
        <v>21</v>
      </c>
      <c r="F3" s="6"/>
      <c r="G3" s="6"/>
    </row>
    <row r="4" ht="15">
      <c r="A4" s="5" t="s">
        <v>35</v>
      </c>
      <c r="B4" s="5" t="s">
        <v>36</v>
      </c>
      <c r="C4" s="6" t="s">
        <v>21</v>
      </c>
      <c r="D4" s="6" t="s">
        <v>21</v>
      </c>
      <c r="E4" s="6" t="s">
        <v>21</v>
      </c>
      <c r="F4" s="6"/>
      <c r="G4" s="6"/>
    </row>
    <row r="5" ht="15">
      <c r="A5" s="5" t="s">
        <v>39</v>
      </c>
      <c r="B5" s="5" t="s">
        <v>40</v>
      </c>
      <c r="C5" s="6" t="s">
        <v>21</v>
      </c>
      <c r="D5" s="6" t="s">
        <v>21</v>
      </c>
      <c r="E5" s="6" t="s">
        <v>21</v>
      </c>
      <c r="F5" s="6"/>
      <c r="G5" s="6"/>
    </row>
    <row r="6" ht="15">
      <c r="A6" s="5" t="s">
        <v>41</v>
      </c>
      <c r="B6" s="5" t="s">
        <v>42</v>
      </c>
      <c r="C6" s="6" t="s">
        <v>21</v>
      </c>
      <c r="D6" s="6" t="s">
        <v>21</v>
      </c>
      <c r="E6" s="6" t="s">
        <v>21</v>
      </c>
      <c r="F6" s="6"/>
      <c r="G6" s="6"/>
    </row>
    <row r="7" ht="15">
      <c r="A7" s="5" t="s">
        <v>49</v>
      </c>
      <c r="B7" s="5" t="s">
        <v>50</v>
      </c>
      <c r="C7" s="6" t="s">
        <v>21</v>
      </c>
      <c r="D7" s="6" t="s">
        <v>21</v>
      </c>
      <c r="E7" s="6" t="s">
        <v>21</v>
      </c>
      <c r="F7" s="6"/>
      <c r="G7" s="6"/>
    </row>
    <row r="8" ht="15">
      <c r="A8" s="5" t="s">
        <v>51</v>
      </c>
      <c r="B8" s="5" t="s">
        <v>52</v>
      </c>
      <c r="C8" s="6" t="s">
        <v>21</v>
      </c>
      <c r="D8" s="6" t="s">
        <v>21</v>
      </c>
      <c r="E8" s="6" t="s">
        <v>21</v>
      </c>
      <c r="F8" s="6"/>
      <c r="G8" s="6"/>
    </row>
    <row r="9" ht="15">
      <c r="A9" s="5" t="s">
        <v>58</v>
      </c>
      <c r="B9" s="5" t="s">
        <v>59</v>
      </c>
      <c r="C9" s="6" t="s">
        <v>21</v>
      </c>
      <c r="D9" s="6" t="s">
        <v>21</v>
      </c>
      <c r="E9" s="6" t="s">
        <v>21</v>
      </c>
      <c r="F9" s="6"/>
      <c r="G9" s="6"/>
    </row>
    <row r="10" ht="15">
      <c r="A10" s="5" t="s">
        <v>60</v>
      </c>
      <c r="B10" s="5" t="s">
        <v>61</v>
      </c>
      <c r="C10" s="6" t="s">
        <v>21</v>
      </c>
      <c r="D10" s="6" t="s">
        <v>21</v>
      </c>
      <c r="E10" s="6" t="s">
        <v>21</v>
      </c>
      <c r="F10" s="6"/>
      <c r="G10" s="6"/>
    </row>
    <row r="11" ht="15">
      <c r="A11" s="5" t="s">
        <v>63</v>
      </c>
      <c r="B11" s="5" t="s">
        <v>64</v>
      </c>
      <c r="C11" s="6" t="s">
        <v>21</v>
      </c>
      <c r="D11" s="6" t="s">
        <v>21</v>
      </c>
      <c r="E11" s="6" t="s">
        <v>21</v>
      </c>
      <c r="F11" s="6"/>
      <c r="G11" s="6"/>
    </row>
    <row r="12" ht="15">
      <c r="A12" s="5" t="s">
        <v>79</v>
      </c>
      <c r="B12" s="5" t="s">
        <v>80</v>
      </c>
      <c r="C12" s="6" t="s">
        <v>21</v>
      </c>
      <c r="D12" s="6" t="s">
        <v>21</v>
      </c>
      <c r="E12" s="6" t="s">
        <v>21</v>
      </c>
      <c r="F12" s="6"/>
      <c r="G12" s="6"/>
    </row>
    <row r="13" ht="15">
      <c r="A13" s="5" t="s">
        <v>81</v>
      </c>
      <c r="B13" s="5" t="s">
        <v>82</v>
      </c>
      <c r="C13" s="6" t="s">
        <v>21</v>
      </c>
      <c r="D13" s="6" t="s">
        <v>21</v>
      </c>
      <c r="E13" s="6" t="s">
        <v>21</v>
      </c>
      <c r="F13" s="6"/>
      <c r="G13" s="6"/>
    </row>
    <row r="14" ht="15">
      <c r="A14" s="5" t="s">
        <v>84</v>
      </c>
      <c r="B14" s="5" t="s">
        <v>85</v>
      </c>
      <c r="C14" s="6" t="s">
        <v>21</v>
      </c>
      <c r="D14" s="6" t="s">
        <v>21</v>
      </c>
      <c r="E14" s="6" t="s">
        <v>21</v>
      </c>
      <c r="F14" s="6"/>
      <c r="G14" s="6"/>
    </row>
    <row r="15" ht="15">
      <c r="A15" s="5" t="s">
        <v>86</v>
      </c>
      <c r="B15" s="5" t="s">
        <v>87</v>
      </c>
      <c r="C15" s="6" t="s">
        <v>21</v>
      </c>
      <c r="D15" s="6" t="s">
        <v>21</v>
      </c>
      <c r="E15" s="6" t="s">
        <v>21</v>
      </c>
      <c r="F15" s="6"/>
      <c r="G15" s="6"/>
    </row>
    <row r="16" ht="15">
      <c r="A16" s="5" t="s">
        <v>91</v>
      </c>
      <c r="B16" s="5" t="s">
        <v>92</v>
      </c>
      <c r="C16" s="6" t="s">
        <v>21</v>
      </c>
      <c r="D16" s="6" t="s">
        <v>21</v>
      </c>
      <c r="E16" s="6" t="s">
        <v>21</v>
      </c>
      <c r="F16" s="6"/>
      <c r="G16" s="6"/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45" disablePrompts="0">
        <x14:dataValidation xr:uid="{72911ABA-46B6-4276-ADD7-7921BD74BA05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C6</xm:sqref>
        </x14:dataValidation>
        <x14:dataValidation xr:uid="{E0BC92FA-AD07-4A36-80D1-832910A84D95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D6</xm:sqref>
        </x14:dataValidation>
        <x14:dataValidation xr:uid="{D1C80B83-FD0D-411B-8178-401CB0FA6505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E6</xm:sqref>
        </x14:dataValidation>
        <x14:dataValidation xr:uid="{ED4D84BC-5DAD-4017-B4D3-602D464BBEDA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C2</xm:sqref>
        </x14:dataValidation>
        <x14:dataValidation xr:uid="{D9CBCD41-59BF-4FFD-B341-2FA1F28B0010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D2</xm:sqref>
        </x14:dataValidation>
        <x14:dataValidation xr:uid="{96ED6A6C-03B6-4D83-8C74-824EEAEF5826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E2</xm:sqref>
        </x14:dataValidation>
        <x14:dataValidation xr:uid="{080D0356-A15B-485E-9E0A-0B4FBFF43844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C7</xm:sqref>
        </x14:dataValidation>
        <x14:dataValidation xr:uid="{8F2FA5EB-8B44-43F4-921C-A8B12347634C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D7</xm:sqref>
        </x14:dataValidation>
        <x14:dataValidation xr:uid="{DA426EFA-9672-4FE3-AD96-F1329B9A74F9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E7</xm:sqref>
        </x14:dataValidation>
        <x14:dataValidation xr:uid="{B1067507-160B-4C2F-AE2D-A08EEEE3529F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C3</xm:sqref>
        </x14:dataValidation>
        <x14:dataValidation xr:uid="{B1E063A7-C8AF-4654-BCF9-4AF8918E243C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D3</xm:sqref>
        </x14:dataValidation>
        <x14:dataValidation xr:uid="{F225272A-D14D-4A6E-BDFA-FC90C3D2BC86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E3</xm:sqref>
        </x14:dataValidation>
        <x14:dataValidation xr:uid="{EF409C17-47CB-472A-B665-75474442D313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C4</xm:sqref>
        </x14:dataValidation>
        <x14:dataValidation xr:uid="{B5FF38BE-26AF-44C8-A719-2F95AE406E56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D4</xm:sqref>
        </x14:dataValidation>
        <x14:dataValidation xr:uid="{282E33CC-A104-43E6-A569-5B4BB72BD5DF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E4</xm:sqref>
        </x14:dataValidation>
        <x14:dataValidation xr:uid="{AB56EF4C-C272-4516-9EC6-BEE9522A0D9C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C5</xm:sqref>
        </x14:dataValidation>
        <x14:dataValidation xr:uid="{1BB9371E-7A61-41B3-AD08-351F32F300B0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D5</xm:sqref>
        </x14:dataValidation>
        <x14:dataValidation xr:uid="{EA7FA62B-5FD2-4DE5-96C5-D6FDC381BEAF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E5</xm:sqref>
        </x14:dataValidation>
        <x14:dataValidation xr:uid="{FA1C1247-B6D0-4212-A492-EA7BAB3E2E15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C8</xm:sqref>
        </x14:dataValidation>
        <x14:dataValidation xr:uid="{4F6CDEC1-67A6-4ED1-A50F-D11D6B05FBD7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D8</xm:sqref>
        </x14:dataValidation>
        <x14:dataValidation xr:uid="{977637DE-4063-469A-AF33-2E865767196D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E8</xm:sqref>
        </x14:dataValidation>
        <x14:dataValidation xr:uid="{3593BB25-4B89-4520-BA68-2CCCBAAC0374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C9</xm:sqref>
        </x14:dataValidation>
        <x14:dataValidation xr:uid="{AE93A664-58AF-4F27-9DF4-515338B2D503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D9</xm:sqref>
        </x14:dataValidation>
        <x14:dataValidation xr:uid="{882A3EBE-0E66-4C95-8DE9-F3941413AF2E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E9</xm:sqref>
        </x14:dataValidation>
        <x14:dataValidation xr:uid="{7B30E3FE-7783-4EA8-952A-77DD8F43E721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C10</xm:sqref>
        </x14:dataValidation>
        <x14:dataValidation xr:uid="{5480A9B3-EBAE-4FCF-8B82-0C9E334435AB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D10</xm:sqref>
        </x14:dataValidation>
        <x14:dataValidation xr:uid="{94517CD8-63B5-44B0-829D-11FDFDA63217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E10</xm:sqref>
        </x14:dataValidation>
        <x14:dataValidation xr:uid="{B0F8EB70-D78B-4C98-87D2-EAC884557552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C11</xm:sqref>
        </x14:dataValidation>
        <x14:dataValidation xr:uid="{3F82C0DC-967E-4BB9-9D3C-2012B166B57D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D11</xm:sqref>
        </x14:dataValidation>
        <x14:dataValidation xr:uid="{2E2A50F3-C746-45AB-9FF1-06790E47EDAE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E11</xm:sqref>
        </x14:dataValidation>
        <x14:dataValidation xr:uid="{983897A0-3141-4394-BC7B-FAF3E8207232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C12</xm:sqref>
        </x14:dataValidation>
        <x14:dataValidation xr:uid="{F1514AE8-0728-44FC-B979-95A373D6A1D4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D12</xm:sqref>
        </x14:dataValidation>
        <x14:dataValidation xr:uid="{CEED03DA-E8CD-424B-8013-CF21636EEA32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E12</xm:sqref>
        </x14:dataValidation>
        <x14:dataValidation xr:uid="{F2E5EE6E-EFD8-45A1-828B-AEE9E55B8FE5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C13</xm:sqref>
        </x14:dataValidation>
        <x14:dataValidation xr:uid="{E9E03D27-EEC6-4B61-ABF7-EE24A3CA9D70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D13</xm:sqref>
        </x14:dataValidation>
        <x14:dataValidation xr:uid="{0B60F714-E65F-4601-A446-EE85E4A33671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E13</xm:sqref>
        </x14:dataValidation>
        <x14:dataValidation xr:uid="{A13EA7B2-0861-4EBE-9606-A8CA7D4025D9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C14</xm:sqref>
        </x14:dataValidation>
        <x14:dataValidation xr:uid="{70048DDB-7EF0-4632-8737-F675A1857291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D14</xm:sqref>
        </x14:dataValidation>
        <x14:dataValidation xr:uid="{C5874C56-A068-4F59-A94E-E1346E09BB25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E14</xm:sqref>
        </x14:dataValidation>
        <x14:dataValidation xr:uid="{76996633-786A-4BED-A25A-6FA70B7BFD3C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C15</xm:sqref>
        </x14:dataValidation>
        <x14:dataValidation xr:uid="{9CFAA32A-095E-412F-8677-E198135C282A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D15</xm:sqref>
        </x14:dataValidation>
        <x14:dataValidation xr:uid="{849AE645-A296-4156-BDCB-ABDFEFF20627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E15</xm:sqref>
        </x14:dataValidation>
        <x14:dataValidation xr:uid="{5A3C42C2-9260-4918-9A4A-33AFB692BA5E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C16</xm:sqref>
        </x14:dataValidation>
        <x14:dataValidation xr:uid="{3DAAAB77-ACCA-4B2A-80F5-4F97463FAD3A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D16</xm:sqref>
        </x14:dataValidation>
        <x14:dataValidation xr:uid="{12BD6355-BC84-43EE-B230-C400D6493F24}" type="list" allowBlank="1" errorStyle="stop" imeMode="noControl" operator="between" showDropDown="0" showErrorMessage="0" showInputMessage="0">
          <x14:formula1>
            <xm:f>"Sí,No,Bloqueado"</xm:f>
          </x14:formula1>
          <x14:formula2>
            <xm:f>0</xm:f>
          </x14:formula2>
          <xm:sqref>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8"/>
    <col customWidth="1" min="2" max="2" style="0" width="48"/>
    <col customWidth="1" min="3" max="4" style="0" width="12"/>
    <col customWidth="1" min="5" max="5" style="0" width="14"/>
    <col customWidth="1" min="6" max="7" style="0" width="12"/>
  </cols>
  <sheetData>
    <row r="1" ht="26.850000000000001">
      <c r="A1" s="8" t="s">
        <v>12</v>
      </c>
      <c r="B1" s="8" t="s">
        <v>13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105</v>
      </c>
    </row>
    <row r="2" ht="15">
      <c r="A2" s="9" t="s">
        <v>18</v>
      </c>
      <c r="B2" s="9" t="s">
        <v>19</v>
      </c>
      <c r="C2" s="9">
        <f>COUNTIFS('Paso 2'!$A$2:$A$212,A2,'Paso 2'!$D$2:$D$212,"&lt;&gt;Nuevo")</f>
        <v>9</v>
      </c>
      <c r="D2" s="9">
        <f>COUNTIFS('Paso 2'!$A$2:$A$212,A2,'Paso 2'!$D$2:$D$212,"&lt;&gt;")</f>
        <v>9</v>
      </c>
      <c r="E2" s="9">
        <f>COUNTIFS('Paso 2'!$A$2:$A$212,A2,'Paso 2'!$D$2:$D$212,"No")</f>
        <v>3</v>
      </c>
      <c r="F2" s="9">
        <f>C2-COUNTIFS('Paso 2'!$A$2:$A$212,A2,'Paso 2'!$D$2:$D$212,"&lt;&gt;",'Paso 2'!$D$2:$D$212,"&lt;&gt;Nuevo")</f>
        <v>0</v>
      </c>
      <c r="G2" s="9" t="str">
        <f t="shared" ref="G2:G9" si="0">IF(F2=0,"Completo","Pendiente")</f>
        <v>Completo</v>
      </c>
    </row>
    <row r="3" ht="15">
      <c r="A3" s="9" t="s">
        <v>31</v>
      </c>
      <c r="B3" s="9" t="s">
        <v>32</v>
      </c>
      <c r="C3" s="9">
        <f>COUNTIFS('Paso 2'!$A$2:$A$212,A3,'Paso 2'!$D$2:$D$212,"&lt;&gt;Nuevo")</f>
        <v>9</v>
      </c>
      <c r="D3" s="9">
        <f>COUNTIFS('Paso 2'!$A$2:$A$212,A3,'Paso 2'!$D$2:$D$212,"&lt;&gt;")</f>
        <v>9</v>
      </c>
      <c r="E3" s="9">
        <f>COUNTIFS('Paso 2'!$A$2:$A$212,A3,'Paso 2'!$D$2:$D$212,"No")</f>
        <v>3</v>
      </c>
      <c r="F3" s="9">
        <f>C3-COUNTIFS('Paso 2'!$A$2:$A$212,A3,'Paso 2'!$D$2:$D$212,"&lt;&gt;",'Paso 2'!$D$2:$D$212,"&lt;&gt;Nuevo")</f>
        <v>0</v>
      </c>
      <c r="G3" s="9" t="str">
        <f t="shared" si="0"/>
        <v>Completo</v>
      </c>
    </row>
    <row r="4" ht="15">
      <c r="A4" s="9" t="s">
        <v>35</v>
      </c>
      <c r="B4" s="9" t="s">
        <v>36</v>
      </c>
      <c r="C4" s="9">
        <f>COUNTIFS('Paso 2'!$A$2:$A$212,A4,'Paso 2'!$D$2:$D$212,"&lt;&gt;Nuevo")</f>
        <v>7</v>
      </c>
      <c r="D4" s="9">
        <f>COUNTIFS('Paso 2'!$A$2:$A$212,A4,'Paso 2'!$D$2:$D$212,"&lt;&gt;")</f>
        <v>7</v>
      </c>
      <c r="E4" s="9">
        <f>COUNTIFS('Paso 2'!$A$2:$A$212,A4,'Paso 2'!$D$2:$D$212,"No")</f>
        <v>3</v>
      </c>
      <c r="F4" s="9">
        <f>C4-COUNTIFS('Paso 2'!$A$2:$A$212,A4,'Paso 2'!$D$2:$D$212,"&lt;&gt;",'Paso 2'!$D$2:$D$212,"&lt;&gt;Nuevo")</f>
        <v>0</v>
      </c>
      <c r="G4" s="9" t="str">
        <f t="shared" si="0"/>
        <v>Completo</v>
      </c>
    </row>
    <row r="5" ht="15">
      <c r="A5" s="9" t="s">
        <v>39</v>
      </c>
      <c r="B5" s="9" t="s">
        <v>40</v>
      </c>
      <c r="C5" s="9">
        <f>COUNTIFS('Paso 2'!$A$2:$A$212,A5,'Paso 2'!$D$2:$D$212,"&lt;&gt;Nuevo")</f>
        <v>7</v>
      </c>
      <c r="D5" s="9">
        <f>COUNTIFS('Paso 2'!$A$2:$A$212,A5,'Paso 2'!$D$2:$D$212,"&lt;&gt;")</f>
        <v>7</v>
      </c>
      <c r="E5" s="9">
        <f>COUNTIFS('Paso 2'!$A$2:$A$212,A5,'Paso 2'!$D$2:$D$212,"No")</f>
        <v>2</v>
      </c>
      <c r="F5" s="9">
        <f>C5-COUNTIFS('Paso 2'!$A$2:$A$212,A5,'Paso 2'!$D$2:$D$212,"&lt;&gt;",'Paso 2'!$D$2:$D$212,"&lt;&gt;Nuevo")</f>
        <v>0</v>
      </c>
      <c r="G5" s="9" t="str">
        <f t="shared" si="0"/>
        <v>Completo</v>
      </c>
    </row>
    <row r="6" ht="15">
      <c r="A6" s="9" t="s">
        <v>41</v>
      </c>
      <c r="B6" s="9" t="s">
        <v>42</v>
      </c>
      <c r="C6" s="9">
        <f>COUNTIFS('Paso 2'!$A$2:$A$212,A6,'Paso 2'!$D$2:$D$212,"&lt;&gt;Nuevo")</f>
        <v>10</v>
      </c>
      <c r="D6" s="9">
        <f>COUNTIFS('Paso 2'!$A$2:$A$212,A6,'Paso 2'!$D$2:$D$212,"&lt;&gt;")</f>
        <v>10</v>
      </c>
      <c r="E6" s="9">
        <f>COUNTIFS('Paso 2'!$A$2:$A$212,A6,'Paso 2'!$D$2:$D$212,"No")</f>
        <v>4</v>
      </c>
      <c r="F6" s="9">
        <f>C6-COUNTIFS('Paso 2'!$A$2:$A$212,A6,'Paso 2'!$D$2:$D$212,"&lt;&gt;",'Paso 2'!$D$2:$D$212,"&lt;&gt;Nuevo")</f>
        <v>0</v>
      </c>
      <c r="G6" s="9" t="str">
        <f t="shared" si="0"/>
        <v>Completo</v>
      </c>
    </row>
    <row r="7" ht="15">
      <c r="A7" s="9" t="s">
        <v>49</v>
      </c>
      <c r="B7" s="9" t="s">
        <v>50</v>
      </c>
      <c r="C7" s="9">
        <f>COUNTIFS('Paso 2'!$A$2:$A$212,A7,'Paso 2'!$D$2:$D$212,"&lt;&gt;Nuevo")</f>
        <v>8</v>
      </c>
      <c r="D7" s="9">
        <f>COUNTIFS('Paso 2'!$A$2:$A$212,A7,'Paso 2'!$D$2:$D$212,"&lt;&gt;")</f>
        <v>8</v>
      </c>
      <c r="E7" s="9">
        <f>COUNTIFS('Paso 2'!$A$2:$A$212,A7,'Paso 2'!$D$2:$D$212,"No")</f>
        <v>2</v>
      </c>
      <c r="F7" s="9">
        <f>C7-COUNTIFS('Paso 2'!$A$2:$A$212,A7,'Paso 2'!$D$2:$D$212,"&lt;&gt;",'Paso 2'!$D$2:$D$212,"&lt;&gt;Nuevo")</f>
        <v>0</v>
      </c>
      <c r="G7" s="9" t="str">
        <f t="shared" si="0"/>
        <v>Completo</v>
      </c>
    </row>
    <row r="8" ht="15">
      <c r="A8" s="9" t="s">
        <v>51</v>
      </c>
      <c r="B8" s="9" t="s">
        <v>52</v>
      </c>
      <c r="C8" s="9">
        <f>COUNTIFS('Paso 2'!$A$2:$A$212,A8,'Paso 2'!$D$2:$D$212,"&lt;&gt;Nuevo")</f>
        <v>10</v>
      </c>
      <c r="D8" s="9">
        <f>COUNTIFS('Paso 2'!$A$2:$A$212,A8,'Paso 2'!$D$2:$D$212,"&lt;&gt;")</f>
        <v>10</v>
      </c>
      <c r="E8" s="9">
        <f>COUNTIFS('Paso 2'!$A$2:$A$212,A8,'Paso 2'!$D$2:$D$212,"No")</f>
        <v>3</v>
      </c>
      <c r="F8" s="9">
        <f>C8-COUNTIFS('Paso 2'!$A$2:$A$212,A8,'Paso 2'!$D$2:$D$212,"&lt;&gt;",'Paso 2'!$D$2:$D$212,"&lt;&gt;Nuevo")</f>
        <v>0</v>
      </c>
      <c r="G8" s="9" t="str">
        <f t="shared" si="0"/>
        <v>Completo</v>
      </c>
    </row>
    <row r="9" ht="15">
      <c r="A9" s="9" t="s">
        <v>58</v>
      </c>
      <c r="B9" s="9" t="s">
        <v>59</v>
      </c>
      <c r="C9" s="9">
        <f>COUNTIFS('Paso 2'!$A$2:$A$212,A9,'Paso 2'!$D$2:$D$212,"&lt;&gt;Nuevo")</f>
        <v>10</v>
      </c>
      <c r="D9" s="9">
        <f>COUNTIFS('Paso 2'!$A$2:$A$212,A9,'Paso 2'!$D$2:$D$212,"&lt;&gt;")</f>
        <v>10</v>
      </c>
      <c r="E9" s="9">
        <f>COUNTIFS('Paso 2'!$A$2:$A$212,A9,'Paso 2'!$D$2:$D$212,"No")</f>
        <v>3</v>
      </c>
      <c r="F9" s="9">
        <f>C9-COUNTIFS('Paso 2'!$A$2:$A$212,A9,'Paso 2'!$D$2:$D$212,"&lt;&gt;",'Paso 2'!$D$2:$D$212,"&lt;&gt;Nuevo")</f>
        <v>0</v>
      </c>
      <c r="G9" s="9" t="str">
        <f t="shared" si="0"/>
        <v>Completo</v>
      </c>
    </row>
    <row r="10" ht="15">
      <c r="A10" s="9" t="s">
        <v>60</v>
      </c>
      <c r="B10" s="9" t="s">
        <v>61</v>
      </c>
      <c r="C10" s="9">
        <f>COUNTIFS('Paso 2'!$A$2:$A$212,A10,'Paso 2'!$D$2:$D$212,"&lt;&gt;Nuevo")</f>
        <v>9</v>
      </c>
      <c r="D10" s="9">
        <f>COUNTIFS('Paso 2'!$A$2:$A$212,A10,'Paso 2'!$D$2:$D$212,"&lt;&gt;")</f>
        <v>9</v>
      </c>
      <c r="E10" s="9">
        <f>COUNTIFS('Paso 2'!$A$2:$A$212,A10,'Paso 2'!$D$2:$D$212,"No")</f>
        <v>2</v>
      </c>
      <c r="F10" s="9">
        <f>C10-COUNTIFS('Paso 2'!$A$2:$A$212,A10,'Paso 2'!$D$2:$D$212,"&lt;&gt;",'Paso 2'!$D$2:$D$212,"&lt;&gt;Nuevo")</f>
        <v>0</v>
      </c>
      <c r="G10" s="9" t="str">
        <f t="shared" ref="G10:G16" si="1">IF(F10=0,"Completo","Pendiente")</f>
        <v>Completo</v>
      </c>
    </row>
    <row r="11" ht="15">
      <c r="A11" s="9" t="s">
        <v>63</v>
      </c>
      <c r="B11" s="9" t="s">
        <v>64</v>
      </c>
      <c r="C11" s="9">
        <f>COUNTIFS('Paso 2'!$A$2:$A$212,A11,'Paso 2'!$D$2:$D$212,"&lt;&gt;Nuevo")</f>
        <v>18</v>
      </c>
      <c r="D11" s="9">
        <f>COUNTIFS('Paso 2'!$A$2:$A$212,A11,'Paso 2'!$D$2:$D$212,"&lt;&gt;")</f>
        <v>18</v>
      </c>
      <c r="E11" s="9">
        <f>COUNTIFS('Paso 2'!$A$2:$A$212,A11,'Paso 2'!$D$2:$D$212,"No")</f>
        <v>4</v>
      </c>
      <c r="F11" s="9">
        <f>C11-COUNTIFS('Paso 2'!$A$2:$A$212,A11,'Paso 2'!$D$2:$D$212,"&lt;&gt;",'Paso 2'!$D$2:$D$212,"&lt;&gt;Nuevo")</f>
        <v>0</v>
      </c>
      <c r="G11" s="9" t="str">
        <f t="shared" si="1"/>
        <v>Completo</v>
      </c>
    </row>
    <row r="12" ht="15">
      <c r="A12" s="9" t="s">
        <v>79</v>
      </c>
      <c r="B12" s="9" t="s">
        <v>80</v>
      </c>
      <c r="C12" s="9">
        <f>COUNTIFS('Paso 2'!$A$2:$A$212,A12,'Paso 2'!$D$2:$D$212,"&lt;&gt;Nuevo")</f>
        <v>18</v>
      </c>
      <c r="D12" s="9">
        <f>COUNTIFS('Paso 2'!$A$2:$A$212,A12,'Paso 2'!$D$2:$D$212,"&lt;&gt;")</f>
        <v>18</v>
      </c>
      <c r="E12" s="9">
        <f>COUNTIFS('Paso 2'!$A$2:$A$212,A12,'Paso 2'!$D$2:$D$212,"No")</f>
        <v>4</v>
      </c>
      <c r="F12" s="9">
        <f>C12-COUNTIFS('Paso 2'!$A$2:$A$212,A12,'Paso 2'!$D$2:$D$212,"&lt;&gt;",'Paso 2'!$D$2:$D$212,"&lt;&gt;Nuevo")</f>
        <v>0</v>
      </c>
      <c r="G12" s="9" t="str">
        <f t="shared" si="1"/>
        <v>Completo</v>
      </c>
    </row>
    <row r="13" ht="15">
      <c r="A13" s="9" t="s">
        <v>81</v>
      </c>
      <c r="B13" s="9" t="s">
        <v>82</v>
      </c>
      <c r="C13" s="9">
        <f>COUNTIFS('Paso 2'!$A$2:$A$212,A13,'Paso 2'!$D$2:$D$212,"&lt;&gt;Nuevo")</f>
        <v>20</v>
      </c>
      <c r="D13" s="9">
        <f>COUNTIFS('Paso 2'!$A$2:$A$212,A13,'Paso 2'!$D$2:$D$212,"&lt;&gt;")</f>
        <v>20</v>
      </c>
      <c r="E13" s="9">
        <f>COUNTIFS('Paso 2'!$A$2:$A$212,A13,'Paso 2'!$D$2:$D$212,"No")</f>
        <v>6</v>
      </c>
      <c r="F13" s="9">
        <f>C13-COUNTIFS('Paso 2'!$A$2:$A$212,A13,'Paso 2'!$D$2:$D$212,"&lt;&gt;",'Paso 2'!$D$2:$D$212,"&lt;&gt;Nuevo")</f>
        <v>0</v>
      </c>
      <c r="G13" s="9" t="str">
        <f t="shared" si="1"/>
        <v>Completo</v>
      </c>
    </row>
    <row r="14" ht="15">
      <c r="A14" s="9" t="s">
        <v>84</v>
      </c>
      <c r="B14" s="9" t="s">
        <v>85</v>
      </c>
      <c r="C14" s="9">
        <f>COUNTIFS('Paso 2'!$A$2:$A$212,A14,'Paso 2'!$D$2:$D$212,"&lt;&gt;Nuevo")</f>
        <v>18</v>
      </c>
      <c r="D14" s="9">
        <f>COUNTIFS('Paso 2'!$A$2:$A$212,A14,'Paso 2'!$D$2:$D$212,"&lt;&gt;")</f>
        <v>18</v>
      </c>
      <c r="E14" s="9">
        <f>COUNTIFS('Paso 2'!$A$2:$A$212,A14,'Paso 2'!$D$2:$D$212,"No")</f>
        <v>4</v>
      </c>
      <c r="F14" s="9">
        <f>C14-COUNTIFS('Paso 2'!$A$2:$A$212,A14,'Paso 2'!$D$2:$D$212,"&lt;&gt;",'Paso 2'!$D$2:$D$212,"&lt;&gt;Nuevo")</f>
        <v>0</v>
      </c>
      <c r="G14" s="9" t="str">
        <f t="shared" si="1"/>
        <v>Completo</v>
      </c>
    </row>
    <row r="15" ht="15">
      <c r="A15" s="9" t="s">
        <v>86</v>
      </c>
      <c r="B15" s="9" t="s">
        <v>87</v>
      </c>
      <c r="C15" s="9">
        <f>COUNTIFS('Paso 2'!$A$2:$A$212,A15,'Paso 2'!$D$2:$D$212,"&lt;&gt;Nuevo")</f>
        <v>7</v>
      </c>
      <c r="D15" s="9">
        <f>COUNTIFS('Paso 2'!$A$2:$A$212,A15,'Paso 2'!$D$2:$D$212,"&lt;&gt;")</f>
        <v>7</v>
      </c>
      <c r="E15" s="9">
        <f>COUNTIFS('Paso 2'!$A$2:$A$212,A15,'Paso 2'!$D$2:$D$212,"No")</f>
        <v>2</v>
      </c>
      <c r="F15" s="9">
        <f>C15-COUNTIFS('Paso 2'!$A$2:$A$212,A15,'Paso 2'!$D$2:$D$212,"&lt;&gt;",'Paso 2'!$D$2:$D$212,"&lt;&gt;Nuevo")</f>
        <v>0</v>
      </c>
      <c r="G15" s="9" t="str">
        <f t="shared" si="1"/>
        <v>Completo</v>
      </c>
    </row>
    <row r="16" ht="15">
      <c r="A16" s="9" t="s">
        <v>91</v>
      </c>
      <c r="B16" s="9" t="s">
        <v>92</v>
      </c>
      <c r="C16" s="9">
        <f>COUNTIFS('Paso 2'!$A$2:$A$212,A16,'Paso 2'!$D$2:$D$212,"&lt;&gt;Nuevo")</f>
        <v>11</v>
      </c>
      <c r="D16" s="9">
        <f>COUNTIFS('Paso 2'!$A$2:$A$212,A16,'Paso 2'!$D$2:$D$212,"&lt;&gt;")</f>
        <v>11</v>
      </c>
      <c r="E16" s="9">
        <f>COUNTIFS('Paso 2'!$A$2:$A$212,A16,'Paso 2'!$D$2:$D$212,"No")</f>
        <v>3</v>
      </c>
      <c r="F16" s="9">
        <f>C16-COUNTIFS('Paso 2'!$A$2:$A$212,A16,'Paso 2'!$D$2:$D$212,"&lt;&gt;",'Paso 2'!$D$2:$D$212,"&lt;&gt;Nuevo")</f>
        <v>0</v>
      </c>
      <c r="G16" s="9" t="str">
        <f t="shared" si="1"/>
        <v>Completo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 id="{DBF9AF03-6935-45C5-883E-B47C5ADAF72A}">
            <xm:f>"Completo"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G2:G16</xm:sqref>
        </x14:conditionalFormatting>
        <x14:conditionalFormatting xmlns:xm="http://schemas.microsoft.com/office/excel/2006/main">
          <x14:cfRule type="cellIs" priority="3" aboveAverage="0" operator="equal" rank="0" text="" id="{E4791A67-F288-4B64-9BC5-55A61E1C9DDB}">
            <xm:f>"Pendiente"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G2:G16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2026-10-16T15:40:25Z</dcterms:created>
  <dcterms:modified xsi:type="dcterms:W3CDTF">2026-10-16T16:14:59Z</dcterms:modified>
</cp:coreProperties>
</file>